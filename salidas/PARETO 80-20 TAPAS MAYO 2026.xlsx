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TIEMPOS PERDIDOS " sheetId="1" state="visible" r:id="rId1"/>
    <sheet name="FALLAS TAPAS" sheetId="2" state="visible" r:id="rId2"/>
    <sheet name="DATOS PARETO" sheetId="3" state="visible" r:id="rId3"/>
    <sheet name="Revisar carrusel de Inserción p" sheetId="4" state="visible" r:id="rId4"/>
  </sheets>
  <definedNames>
    <definedName name="_xlnm.Print_Area" localSheetId="3">'Revisar carrusel de Inserción p'!$A$1:$M$13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\ * #,##0.00_);_(&quot;$&quot;\ * \(#,##0.00\);_(&quot;$&quot;\ * &quot;-&quot;??_);_(@_)"/>
    <numFmt numFmtId="165" formatCode="h:mm:ss;@"/>
    <numFmt numFmtId="166" formatCode="dd/mm/yyyy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62"/>
      <sz val="24"/>
    </font>
    <font>
      <name val="Calibri"/>
      <family val="2"/>
      <b val="1"/>
      <color indexed="62"/>
      <sz val="14"/>
    </font>
    <font>
      <name val="Calibri"/>
      <family val="2"/>
      <b val="1"/>
      <sz val="14"/>
    </font>
    <font>
      <name val="Calibri"/>
      <family val="2"/>
      <b val="1"/>
      <color indexed="9"/>
      <sz val="18"/>
    </font>
    <font>
      <name val="Arial Narrow"/>
      <family val="2"/>
      <b val="1"/>
      <color indexed="9"/>
      <sz val="11"/>
    </font>
    <font>
      <name val="Arial Narrow"/>
      <family val="2"/>
      <b val="1"/>
      <color indexed="8"/>
      <sz val="11"/>
    </font>
    <font>
      <name val="Arial Narrow"/>
      <family val="2"/>
      <color indexed="9"/>
      <sz val="8"/>
    </font>
    <font>
      <name val="Arial Narrow"/>
      <family val="2"/>
      <color indexed="9"/>
      <sz val="9"/>
    </font>
    <font>
      <name val="Arial Narrow"/>
      <family val="2"/>
      <b val="1"/>
      <color indexed="9"/>
      <sz val="12"/>
    </font>
    <font>
      <name val="Arial Narrow"/>
      <family val="2"/>
      <color indexed="8"/>
      <sz val="11"/>
    </font>
    <font>
      <name val="Calibri"/>
      <family val="2"/>
      <color theme="0"/>
      <sz val="11"/>
      <scheme val="minor"/>
    </font>
    <font>
      <name val="Calibri"/>
      <family val="2"/>
      <color indexed="12"/>
      <sz val="11"/>
      <u val="single"/>
    </font>
    <font>
      <name val="Arial"/>
      <family val="2"/>
      <color indexed="12"/>
      <sz val="10"/>
    </font>
    <font>
      <name val="Arial"/>
      <family val="2"/>
      <color theme="1"/>
      <sz val="10"/>
    </font>
    <font>
      <name val="Arial"/>
      <family val="2"/>
      <b val="1"/>
      <color indexed="62"/>
      <sz val="10"/>
    </font>
    <font>
      <name val="Arial"/>
      <family val="2"/>
      <color indexed="12"/>
      <sz val="10"/>
      <u val="single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Calibri"/>
      <family val="2"/>
      <b val="1"/>
      <sz val="12"/>
      <scheme val="minor"/>
    </font>
    <font>
      <name val="Arial"/>
      <family val="2"/>
      <b val="1"/>
      <sz val="12"/>
    </font>
    <font>
      <name val="Arial"/>
      <family val="2"/>
      <color indexed="8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Calibri"/>
      <family val="2"/>
      <color indexed="10"/>
      <sz val="13"/>
    </font>
    <font>
      <name val="Arial"/>
      <family val="2"/>
      <b val="1"/>
      <color theme="3"/>
      <sz val="10"/>
    </font>
    <font>
      <name val="Arial"/>
      <family val="2"/>
      <color indexed="12"/>
      <sz val="12"/>
    </font>
    <font>
      <name val="Arial"/>
      <family val="2"/>
      <b val="1"/>
      <color theme="3"/>
      <sz val="12"/>
    </font>
    <font>
      <name val="Calibri"/>
      <family val="2"/>
      <color rgb="FFFF0000"/>
      <sz val="11"/>
      <scheme val="minor"/>
    </font>
    <font>
      <name val="Calibri"/>
      <family val="2"/>
      <color indexed="8"/>
      <sz val="11"/>
    </font>
    <font>
      <name val="Arial"/>
      <family val="2"/>
      <b val="1"/>
      <color theme="4"/>
      <sz val="10"/>
    </font>
    <font>
      <name val="Calibri"/>
      <family val="2"/>
      <color theme="1"/>
      <sz val="11"/>
      <scheme val="minor"/>
    </font>
    <font>
      <name val="Arial monospaced for SAP"/>
      <family val="3"/>
      <b val="1"/>
      <sz val="10"/>
    </font>
    <font>
      <name val="Arial monospaced for SAP"/>
      <family val="3"/>
      <color indexed="8"/>
      <sz val="10"/>
    </font>
    <font>
      <name val="Arial monospaced for SAP"/>
      <family val="3"/>
      <b val="1"/>
      <color theme="1"/>
      <sz val="10"/>
    </font>
    <font>
      <name val="Arial monospaced for SAP"/>
      <family val="3"/>
      <color theme="1"/>
      <sz val="10"/>
    </font>
    <font>
      <name val="Calibri"/>
      <family val="2"/>
      <sz val="8"/>
      <scheme val="minor"/>
    </font>
    <font>
      <name val="Arial monospaced for SAP"/>
      <family val="3"/>
      <sz val="10"/>
    </font>
    <font>
      <name val="Arial monospaced for SAP"/>
      <family val="3"/>
      <b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9FBFA"/>
        <bgColor indexed="64"/>
      </patternFill>
    </fill>
  </fills>
  <borders count="138"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18"/>
      </right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9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medium">
        <color indexed="8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/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/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/>
      <bottom style="double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double">
        <color theme="9" tint="-0.249946592608417"/>
      </bottom>
      <diagonal/>
    </border>
    <border>
      <left style="double">
        <color theme="9" tint="-0.249946592608417"/>
      </left>
      <right style="double">
        <color theme="9" tint="-0.249946592608417"/>
      </right>
      <top/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double">
        <color theme="9" tint="-0.249946592608417"/>
      </top>
      <bottom style="double">
        <color theme="9" tint="-0.249946592608417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medium">
        <color indexed="8"/>
      </right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thin">
        <color theme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"/>
      </right>
      <top/>
      <bottom style="thin">
        <color auto="1"/>
      </bottom>
      <diagonal/>
    </border>
    <border>
      <left style="double">
        <color theme="9" tint="-0.249946592608417"/>
      </left>
      <right style="double">
        <color theme="9" tint="-0.249946592608417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18"/>
      </top>
      <bottom/>
      <diagonal/>
    </border>
    <border>
      <left style="thin">
        <color indexed="9"/>
      </left>
      <right/>
      <top style="thin">
        <color indexed="18"/>
      </top>
      <bottom/>
      <diagonal/>
    </border>
    <border>
      <left/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thin">
        <color indexed="1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53"/>
      </left>
      <right style="double">
        <color theme="9" tint="-0.249946592608417"/>
      </right>
      <top style="double">
        <color indexed="53"/>
      </top>
      <bottom style="thin">
        <color auto="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thin">
        <color theme="1"/>
      </bottom>
      <diagonal/>
    </border>
    <border>
      <left style="double">
        <color indexed="53"/>
      </left>
      <right style="double">
        <color indexed="53"/>
      </right>
      <top style="thin">
        <color theme="1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53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/>
      <diagonal/>
    </border>
    <border>
      <left style="thin">
        <color indexed="64"/>
      </left>
      <right style="double">
        <color indexed="53"/>
      </right>
      <top/>
      <bottom/>
      <diagonal/>
    </border>
    <border>
      <left style="thin">
        <color indexed="64"/>
      </left>
      <right style="double">
        <color indexed="53"/>
      </right>
      <top/>
      <bottom style="double">
        <color indexed="5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theme="9" tint="-0.249946592608417"/>
      </bottom>
      <diagonal/>
    </border>
    <border>
      <left style="double">
        <color indexed="53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53"/>
      </top>
      <bottom style="thin">
        <color indexed="64"/>
      </bottom>
      <diagonal/>
    </border>
    <border>
      <left style="double">
        <color indexed="5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5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9" tint="-0.249946592608417"/>
      </right>
      <top style="double">
        <color theme="9" tint="-0.249946592608417"/>
      </top>
      <bottom style="thin">
        <color indexed="64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thin">
        <color indexed="64"/>
      </bottom>
      <diagonal/>
    </border>
    <border>
      <left style="double">
        <color theme="9" tint="-0.249946592608417"/>
      </left>
      <right/>
      <top/>
      <bottom/>
      <diagonal/>
    </border>
    <border>
      <left style="double">
        <color theme="9" tint="-0.249946592608417"/>
      </left>
      <right style="double">
        <color theme="9" tint="-0.249946592608417"/>
      </right>
      <top/>
      <bottom/>
      <diagonal/>
    </border>
    <border>
      <left style="thin">
        <color indexed="64"/>
      </left>
      <right style="double">
        <color indexed="53"/>
      </right>
      <top style="thin">
        <color indexed="64"/>
      </top>
      <bottom style="double">
        <color indexed="5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9"/>
      </right>
      <top style="thin">
        <color indexed="1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 style="medium">
        <color indexed="8"/>
      </right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theme="9" tint="-0.249946592608417"/>
      </right>
      <top/>
      <bottom/>
      <diagonal/>
    </border>
    <border>
      <left style="thin">
        <color indexed="64"/>
      </left>
      <right style="double">
        <color theme="9" tint="-0.249946592608417"/>
      </right>
      <top/>
      <bottom style="thin">
        <color indexed="64"/>
      </bottom>
      <diagonal/>
    </border>
  </borders>
  <cellStyleXfs count="31">
    <xf numFmtId="0" fontId="32" fillId="0" borderId="0"/>
    <xf numFmtId="0" fontId="13" fillId="0" borderId="0" applyAlignment="1" applyProtection="1">
      <alignment vertical="top"/>
      <protection locked="0" hidden="0"/>
    </xf>
    <xf numFmtId="164" fontId="32" fillId="0" borderId="0"/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43" fontId="32" fillId="0" borderId="0"/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77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43" fontId="32" fillId="0" borderId="0"/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  <xf numFmtId="165" fontId="30" fillId="8" borderId="80" applyAlignment="1" applyProtection="1">
      <alignment horizontal="center" vertical="center" wrapText="1"/>
      <protection locked="0" hidden="0"/>
    </xf>
  </cellStyleXfs>
  <cellXfs count="21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right"/>
    </xf>
    <xf numFmtId="0" fontId="0" fillId="0" borderId="4" pivotButton="0" quotePrefix="0" xfId="0"/>
    <xf numFmtId="0" fontId="1" fillId="0" borderId="5" applyAlignment="1" pivotButton="0" quotePrefix="0" xfId="0">
      <alignment horizontal="right"/>
    </xf>
    <xf numFmtId="0" fontId="1" fillId="0" borderId="6" pivotButton="0" quotePrefix="0" xfId="0"/>
    <xf numFmtId="0" fontId="6" fillId="2" borderId="7" applyAlignment="1" pivotButton="0" quotePrefix="0" xfId="0">
      <alignment vertical="center" wrapText="1"/>
    </xf>
    <xf numFmtId="0" fontId="1" fillId="0" borderId="3" applyAlignment="1" pivotButton="0" quotePrefix="0" xfId="0">
      <alignment horizontal="right"/>
    </xf>
    <xf numFmtId="0" fontId="7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6" fillId="2" borderId="4" applyAlignment="1" pivotButton="0" quotePrefix="0" xfId="0">
      <alignment vertical="center" wrapText="1"/>
    </xf>
    <xf numFmtId="0" fontId="1" fillId="0" borderId="9" pivotButton="0" quotePrefix="0" xfId="0"/>
    <xf numFmtId="0" fontId="1" fillId="0" borderId="10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8" fillId="2" borderId="11" applyAlignment="1" pivotButton="0" quotePrefix="0" xfId="0">
      <alignment horizontal="right" vertical="center" wrapText="1"/>
    </xf>
    <xf numFmtId="0" fontId="1" fillId="0" borderId="12" applyAlignment="1" pivotButton="0" quotePrefix="0" xfId="0">
      <alignment horizontal="right"/>
    </xf>
    <xf numFmtId="0" fontId="7" fillId="0" borderId="13" pivotButton="0" quotePrefix="0" xfId="0"/>
    <xf numFmtId="0" fontId="0" fillId="3" borderId="15" pivotButton="0" quotePrefix="0" xfId="0"/>
    <xf numFmtId="0" fontId="0" fillId="2" borderId="0" pivotButton="0" quotePrefix="0" xfId="0"/>
    <xf numFmtId="0" fontId="0" fillId="3" borderId="16" pivotButton="0" quotePrefix="0" xfId="0"/>
    <xf numFmtId="0" fontId="1" fillId="0" borderId="17" pivotButton="0" quotePrefix="0" xfId="0"/>
    <xf numFmtId="0" fontId="8" fillId="3" borderId="18" applyAlignment="1" pivotButton="0" quotePrefix="0" xfId="0">
      <alignment vertical="center" textRotation="45" wrapText="1"/>
    </xf>
    <xf numFmtId="0" fontId="8" fillId="2" borderId="0" applyAlignment="1" pivotButton="0" quotePrefix="0" xfId="0">
      <alignment vertical="center" textRotation="45" wrapText="1"/>
    </xf>
    <xf numFmtId="0" fontId="9" fillId="3" borderId="19" applyAlignment="1" pivotButton="0" quotePrefix="0" xfId="0">
      <alignment vertical="center" textRotation="45" wrapText="1"/>
    </xf>
    <xf numFmtId="1" fontId="14" fillId="2" borderId="0" applyAlignment="1" pivotButton="0" quotePrefix="0" xfId="0">
      <alignment horizontal="center" vertical="center" wrapText="1"/>
    </xf>
    <xf numFmtId="0" fontId="15" fillId="2" borderId="0" pivotButton="0" quotePrefix="0" xfId="0"/>
    <xf numFmtId="15" fontId="16" fillId="2" borderId="41" applyAlignment="1" pivotButton="0" quotePrefix="0" xfId="0">
      <alignment horizontal="center" vertical="center" wrapText="1"/>
    </xf>
    <xf numFmtId="15" fontId="16" fillId="2" borderId="42" applyAlignment="1" pivotButton="0" quotePrefix="0" xfId="0">
      <alignment horizontal="center" vertical="center" wrapText="1"/>
    </xf>
    <xf numFmtId="1" fontId="18" fillId="2" borderId="42" applyAlignment="1" pivotButton="0" quotePrefix="0" xfId="0">
      <alignment horizontal="center" vertical="center" wrapText="1"/>
    </xf>
    <xf numFmtId="0" fontId="0" fillId="6" borderId="0" pivotButton="0" quotePrefix="0" xfId="0"/>
    <xf numFmtId="1" fontId="19" fillId="2" borderId="42" applyAlignment="1" pivotButton="0" quotePrefix="0" xfId="0">
      <alignment horizontal="center" vertical="center" wrapText="1"/>
    </xf>
    <xf numFmtId="0" fontId="20" fillId="6" borderId="43" applyAlignment="1" pivotButton="0" quotePrefix="0" xfId="0">
      <alignment horizontal="center" vertical="center" wrapText="1"/>
    </xf>
    <xf numFmtId="0" fontId="20" fillId="6" borderId="43" applyAlignment="1" applyProtection="1" pivotButton="0" quotePrefix="0" xfId="0">
      <alignment horizontal="center" vertical="center" wrapText="1"/>
      <protection locked="0" hidden="0"/>
    </xf>
    <xf numFmtId="1" fontId="25" fillId="6" borderId="43" applyAlignment="1" pivotButton="0" quotePrefix="0" xfId="0">
      <alignment horizontal="center"/>
    </xf>
    <xf numFmtId="0" fontId="21" fillId="6" borderId="43" applyAlignment="1" pivotButton="0" quotePrefix="0" xfId="0">
      <alignment horizontal="center"/>
    </xf>
    <xf numFmtId="9" fontId="12" fillId="7" borderId="46" applyAlignment="1" pivotButton="0" quotePrefix="0" xfId="0">
      <alignment horizontal="center" vertical="center"/>
    </xf>
    <xf numFmtId="0" fontId="12" fillId="7" borderId="48" applyAlignment="1" pivotButton="0" quotePrefix="0" xfId="0">
      <alignment horizontal="center" vertical="center"/>
    </xf>
    <xf numFmtId="1" fontId="27" fillId="2" borderId="50" applyAlignment="1" pivotButton="0" quotePrefix="0" xfId="0">
      <alignment horizontal="center" vertical="center" wrapText="1"/>
    </xf>
    <xf numFmtId="1" fontId="23" fillId="0" borderId="49" applyAlignment="1" pivotButton="0" quotePrefix="0" xfId="0">
      <alignment horizontal="center" vertical="center"/>
    </xf>
    <xf numFmtId="0" fontId="10" fillId="3" borderId="51" applyAlignment="1" pivotButton="0" quotePrefix="0" xfId="0">
      <alignment horizontal="center" vertical="center" wrapText="1"/>
    </xf>
    <xf numFmtId="1" fontId="28" fillId="0" borderId="47" applyAlignment="1" pivotButton="0" quotePrefix="0" xfId="0">
      <alignment horizontal="center" vertical="center"/>
    </xf>
    <xf numFmtId="0" fontId="7" fillId="2" borderId="55" applyAlignment="1" pivotButton="0" quotePrefix="0" xfId="0">
      <alignment horizontal="center" vertical="center" wrapText="1"/>
    </xf>
    <xf numFmtId="0" fontId="11" fillId="2" borderId="53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6" borderId="2" pivotButton="0" quotePrefix="0" xfId="0"/>
    <xf numFmtId="0" fontId="0" fillId="6" borderId="0" applyAlignment="1" pivotButton="0" quotePrefix="0" xfId="0">
      <alignment horizontal="right"/>
    </xf>
    <xf numFmtId="0" fontId="1" fillId="0" borderId="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6" borderId="57" pivotButton="0" quotePrefix="0" xfId="0"/>
    <xf numFmtId="0" fontId="19" fillId="6" borderId="56" applyAlignment="1" pivotButton="0" quotePrefix="0" xfId="0">
      <alignment horizontal="center" vertical="center" wrapText="1"/>
    </xf>
    <xf numFmtId="0" fontId="31" fillId="6" borderId="54" applyAlignment="1" pivotButton="0" quotePrefix="0" xfId="0">
      <alignment horizontal="center" vertical="center" wrapText="1"/>
    </xf>
    <xf numFmtId="0" fontId="7" fillId="2" borderId="69" applyAlignment="1" pivotButton="0" quotePrefix="0" xfId="0">
      <alignment horizontal="center" vertical="center" wrapText="1"/>
    </xf>
    <xf numFmtId="0" fontId="19" fillId="6" borderId="70" applyAlignment="1" pivotButton="0" quotePrefix="0" xfId="0">
      <alignment horizontal="center" vertical="center" wrapText="1"/>
    </xf>
    <xf numFmtId="0" fontId="11" fillId="2" borderId="70" applyAlignment="1" pivotButton="0" quotePrefix="0" xfId="0">
      <alignment horizontal="center" vertical="center" wrapText="1"/>
    </xf>
    <xf numFmtId="0" fontId="18" fillId="6" borderId="76" applyAlignment="1" pivotButton="0" quotePrefix="0" xfId="0">
      <alignment horizontal="center" vertical="center" wrapText="1"/>
    </xf>
    <xf numFmtId="0" fontId="22" fillId="6" borderId="76" applyAlignment="1" applyProtection="1" pivotButton="0" quotePrefix="0" xfId="0">
      <alignment horizontal="center" vertical="center" wrapText="1"/>
      <protection locked="0" hidden="0"/>
    </xf>
    <xf numFmtId="0" fontId="26" fillId="6" borderId="76" applyAlignment="1" pivotButton="0" quotePrefix="0" xfId="0">
      <alignment horizontal="center" vertical="center" wrapText="1"/>
    </xf>
    <xf numFmtId="0" fontId="24" fillId="6" borderId="76" applyAlignment="1" applyProtection="1" pivotButton="0" quotePrefix="0" xfId="0">
      <alignment horizontal="center" vertical="center" wrapText="1"/>
      <protection locked="0" hidden="0"/>
    </xf>
    <xf numFmtId="0" fontId="36" fillId="6" borderId="0" pivotButton="0" quotePrefix="0" xfId="0"/>
    <xf numFmtId="0" fontId="10" fillId="3" borderId="84" applyAlignment="1" pivotButton="0" quotePrefix="0" xfId="0">
      <alignment horizontal="right" vertical="center" wrapText="1"/>
    </xf>
    <xf numFmtId="1" fontId="27" fillId="2" borderId="80" applyAlignment="1" pivotButton="0" quotePrefix="0" xfId="1">
      <alignment horizontal="center" vertical="center" wrapText="1"/>
    </xf>
    <xf numFmtId="0" fontId="18" fillId="0" borderId="76" applyAlignment="1" pivotButton="0" quotePrefix="0" xfId="0">
      <alignment horizontal="center" vertical="center" wrapText="1"/>
    </xf>
    <xf numFmtId="0" fontId="22" fillId="0" borderId="76" applyAlignment="1" applyProtection="1" pivotButton="0" quotePrefix="0" xfId="0">
      <alignment horizontal="center" vertical="center" wrapText="1"/>
      <protection locked="0" hidden="0"/>
    </xf>
    <xf numFmtId="0" fontId="26" fillId="0" borderId="76" applyAlignment="1" pivotButton="0" quotePrefix="0" xfId="0">
      <alignment horizontal="center" vertical="center" wrapText="1"/>
    </xf>
    <xf numFmtId="0" fontId="24" fillId="0" borderId="76" applyAlignment="1" applyProtection="1" pivotButton="0" quotePrefix="0" xfId="0">
      <alignment horizontal="center" vertical="center" wrapText="1"/>
      <protection locked="0" hidden="0"/>
    </xf>
    <xf numFmtId="0" fontId="33" fillId="6" borderId="91" applyAlignment="1" pivotButton="0" quotePrefix="0" xfId="0">
      <alignment horizontal="center" vertical="center" wrapText="1"/>
    </xf>
    <xf numFmtId="0" fontId="39" fillId="0" borderId="91" applyAlignment="1" pivotButton="0" quotePrefix="0" xfId="0">
      <alignment horizontal="center" vertical="center" wrapText="1"/>
    </xf>
    <xf numFmtId="0" fontId="35" fillId="6" borderId="91" applyAlignment="1" applyProtection="1" pivotButton="0" quotePrefix="0" xfId="0">
      <alignment horizontal="center" vertical="center" wrapText="1"/>
      <protection locked="0" hidden="0"/>
    </xf>
    <xf numFmtId="0" fontId="34" fillId="6" borderId="91" applyAlignment="1" applyProtection="1" pivotButton="0" quotePrefix="0" xfId="0">
      <alignment horizontal="center" vertical="center" wrapText="1"/>
      <protection locked="0" hidden="0"/>
    </xf>
    <xf numFmtId="0" fontId="36" fillId="6" borderId="92" applyAlignment="1" pivotButton="0" quotePrefix="0" xfId="0">
      <alignment horizontal="center" vertical="center"/>
    </xf>
    <xf numFmtId="0" fontId="33" fillId="6" borderId="93" applyAlignment="1" pivotButton="0" quotePrefix="0" xfId="0">
      <alignment horizontal="center" vertical="center" wrapText="1"/>
    </xf>
    <xf numFmtId="0" fontId="34" fillId="6" borderId="93" applyAlignment="1" applyProtection="1" pivotButton="0" quotePrefix="0" xfId="0">
      <alignment horizontal="center" vertical="center" wrapText="1"/>
      <protection locked="0" hidden="0"/>
    </xf>
    <xf numFmtId="0" fontId="39" fillId="0" borderId="93" applyAlignment="1" pivotButton="0" quotePrefix="0" xfId="0">
      <alignment horizontal="center" vertical="center" wrapText="1"/>
    </xf>
    <xf numFmtId="0" fontId="35" fillId="6" borderId="93" applyAlignment="1" applyProtection="1" pivotButton="0" quotePrefix="0" xfId="0">
      <alignment horizontal="center" vertical="center" wrapText="1"/>
      <protection locked="0" hidden="0"/>
    </xf>
    <xf numFmtId="0" fontId="36" fillId="6" borderId="94" applyAlignment="1" pivotButton="0" quotePrefix="0" xfId="0">
      <alignment horizontal="center" vertical="center"/>
    </xf>
    <xf numFmtId="0" fontId="33" fillId="6" borderId="96" applyAlignment="1" pivotButton="0" quotePrefix="0" xfId="0">
      <alignment horizontal="center" vertical="center" wrapText="1"/>
    </xf>
    <xf numFmtId="0" fontId="34" fillId="6" borderId="96" applyAlignment="1" applyProtection="1" pivotButton="0" quotePrefix="0" xfId="0">
      <alignment horizontal="center" vertical="center" wrapText="1"/>
      <protection locked="0" hidden="0"/>
    </xf>
    <xf numFmtId="0" fontId="39" fillId="0" borderId="96" applyAlignment="1" pivotButton="0" quotePrefix="0" xfId="0">
      <alignment horizontal="center" vertical="center" wrapText="1"/>
    </xf>
    <xf numFmtId="0" fontId="35" fillId="6" borderId="96" applyAlignment="1" applyProtection="1" pivotButton="0" quotePrefix="0" xfId="0">
      <alignment horizontal="center" vertical="center" wrapText="1"/>
      <protection locked="0" hidden="0"/>
    </xf>
    <xf numFmtId="0" fontId="0" fillId="0" borderId="79" applyAlignment="1" pivotButton="0" quotePrefix="0" xfId="0">
      <alignment horizontal="center" vertical="center"/>
    </xf>
    <xf numFmtId="0" fontId="18" fillId="0" borderId="90" applyAlignment="1" pivotButton="0" quotePrefix="0" xfId="0">
      <alignment horizontal="center" vertical="center" wrapText="1"/>
    </xf>
    <xf numFmtId="0" fontId="22" fillId="0" borderId="90" applyAlignment="1" applyProtection="1" pivotButton="0" quotePrefix="0" xfId="0">
      <alignment horizontal="center" vertical="center" wrapText="1"/>
      <protection locked="0" hidden="0"/>
    </xf>
    <xf numFmtId="0" fontId="26" fillId="0" borderId="90" applyAlignment="1" pivotButton="0" quotePrefix="0" xfId="0">
      <alignment horizontal="center" vertical="center" wrapText="1"/>
    </xf>
    <xf numFmtId="0" fontId="24" fillId="0" borderId="90" applyAlignment="1" applyProtection="1" pivotButton="0" quotePrefix="0" xfId="0">
      <alignment horizontal="center" vertical="center" wrapText="1"/>
      <protection locked="0" hidden="0"/>
    </xf>
    <xf numFmtId="0" fontId="0" fillId="0" borderId="100" pivotButton="0" quotePrefix="0" xfId="0"/>
    <xf numFmtId="0" fontId="35" fillId="6" borderId="98" applyAlignment="1" applyProtection="1" pivotButton="0" quotePrefix="0" xfId="0">
      <alignment vertical="center" wrapText="1"/>
      <protection locked="0" hidden="0"/>
    </xf>
    <xf numFmtId="0" fontId="35" fillId="6" borderId="95" applyAlignment="1" applyProtection="1" pivotButton="0" quotePrefix="0" xfId="0">
      <alignment vertical="center" wrapText="1"/>
      <protection locked="0" hidden="0"/>
    </xf>
    <xf numFmtId="0" fontId="35" fillId="6" borderId="101" applyAlignment="1" applyProtection="1" pivotButton="0" quotePrefix="0" xfId="0">
      <alignment vertical="center" wrapText="1"/>
      <protection locked="0" hidden="0"/>
    </xf>
    <xf numFmtId="0" fontId="36" fillId="6" borderId="102" applyAlignment="1" pivotButton="0" quotePrefix="0" xfId="0">
      <alignment horizontal="center" vertical="center"/>
    </xf>
    <xf numFmtId="0" fontId="33" fillId="6" borderId="103" applyAlignment="1" pivotButton="0" quotePrefix="0" xfId="0">
      <alignment horizontal="center" vertical="center" wrapText="1"/>
    </xf>
    <xf numFmtId="0" fontId="34" fillId="0" borderId="103" applyAlignment="1" applyProtection="1" pivotButton="0" quotePrefix="0" xfId="0">
      <alignment horizontal="center" vertical="center" wrapText="1"/>
      <protection locked="0" hidden="0"/>
    </xf>
    <xf numFmtId="0" fontId="38" fillId="0" borderId="103" applyAlignment="1" applyProtection="1" pivotButton="0" quotePrefix="0" xfId="0">
      <alignment horizontal="center" vertical="center" wrapText="1"/>
      <protection locked="0" hidden="0"/>
    </xf>
    <xf numFmtId="0" fontId="33" fillId="0" borderId="103" applyAlignment="1" pivotButton="0" quotePrefix="0" xfId="0">
      <alignment horizontal="center" vertical="center" wrapText="1"/>
    </xf>
    <xf numFmtId="0" fontId="36" fillId="6" borderId="104" applyAlignment="1" pivotButton="0" quotePrefix="0" xfId="0">
      <alignment horizontal="center" vertical="center"/>
    </xf>
    <xf numFmtId="0" fontId="33" fillId="6" borderId="105" applyAlignment="1" pivotButton="0" quotePrefix="0" xfId="0">
      <alignment horizontal="center" vertical="center" wrapText="1"/>
    </xf>
    <xf numFmtId="0" fontId="39" fillId="0" borderId="105" applyAlignment="1" pivotButton="0" quotePrefix="0" xfId="0">
      <alignment horizontal="center" vertical="center" wrapText="1"/>
    </xf>
    <xf numFmtId="0" fontId="35" fillId="6" borderId="106" applyAlignment="1" applyProtection="1" pivotButton="0" quotePrefix="0" xfId="0">
      <alignment vertical="center" wrapText="1"/>
      <protection locked="0" hidden="0"/>
    </xf>
    <xf numFmtId="0" fontId="34" fillId="0" borderId="107" applyAlignment="1" applyProtection="1" pivotButton="0" quotePrefix="0" xfId="0">
      <alignment horizontal="center" vertical="center" wrapText="1"/>
      <protection locked="0" hidden="0"/>
    </xf>
    <xf numFmtId="0" fontId="38" fillId="0" borderId="107" applyAlignment="1" applyProtection="1" pivotButton="0" quotePrefix="0" xfId="0">
      <alignment horizontal="center" vertical="center" wrapText="1"/>
      <protection locked="0" hidden="0"/>
    </xf>
    <xf numFmtId="0" fontId="35" fillId="0" borderId="107" applyAlignment="1" applyProtection="1" pivotButton="0" quotePrefix="0" xfId="0">
      <alignment horizontal="center" vertical="center" wrapText="1"/>
      <protection locked="0" hidden="0"/>
    </xf>
    <xf numFmtId="0" fontId="35" fillId="6" borderId="105" applyAlignment="1" applyProtection="1" pivotButton="0" quotePrefix="0" xfId="0">
      <alignment horizontal="center" vertical="center" wrapText="1"/>
      <protection locked="0" hidden="0"/>
    </xf>
    <xf numFmtId="0" fontId="34" fillId="6" borderId="105" applyAlignment="1" applyProtection="1" pivotButton="0" quotePrefix="0" xfId="0">
      <alignment horizontal="center" vertical="center" wrapText="1"/>
      <protection locked="0" hidden="0"/>
    </xf>
    <xf numFmtId="0" fontId="0" fillId="9" borderId="79" applyAlignment="1" pivotButton="0" quotePrefix="0" xfId="0">
      <alignment horizontal="center" vertical="center"/>
    </xf>
    <xf numFmtId="0" fontId="18" fillId="9" borderId="76" applyAlignment="1" pivotButton="0" quotePrefix="0" xfId="0">
      <alignment horizontal="center" vertical="center" wrapText="1"/>
    </xf>
    <xf numFmtId="0" fontId="22" fillId="9" borderId="76" applyAlignment="1" applyProtection="1" pivotButton="0" quotePrefix="0" xfId="0">
      <alignment horizontal="center" vertical="center" wrapText="1"/>
      <protection locked="0" hidden="0"/>
    </xf>
    <xf numFmtId="0" fontId="26" fillId="9" borderId="76" applyAlignment="1" pivotButton="0" quotePrefix="0" xfId="0">
      <alignment horizontal="center" vertical="center" wrapText="1"/>
    </xf>
    <xf numFmtId="0" fontId="24" fillId="9" borderId="76" applyAlignment="1" applyProtection="1" pivotButton="0" quotePrefix="0" xfId="0">
      <alignment horizontal="center" vertical="center" wrapText="1"/>
      <protection locked="0" hidden="0"/>
    </xf>
    <xf numFmtId="0" fontId="17" fillId="2" borderId="38" applyAlignment="1" pivotButton="0" quotePrefix="0" xfId="1">
      <alignment horizontal="center" vertical="center" wrapText="1"/>
    </xf>
    <xf numFmtId="0" fontId="17" fillId="2" borderId="40" applyAlignment="1" pivotButton="0" quotePrefix="0" xfId="1">
      <alignment horizontal="center" vertical="center" wrapText="1"/>
    </xf>
    <xf numFmtId="0" fontId="17" fillId="2" borderId="37" applyAlignment="1" pivotButton="0" quotePrefix="0" xfId="1">
      <alignment horizontal="center" vertical="center" wrapText="1"/>
    </xf>
    <xf numFmtId="0" fontId="17" fillId="2" borderId="39" applyAlignment="1" pivotButton="0" quotePrefix="0" xfId="1">
      <alignment horizontal="center" vertical="center" wrapText="1"/>
    </xf>
    <xf numFmtId="0" fontId="16" fillId="2" borderId="37" applyAlignment="1" pivotButton="0" quotePrefix="0" xfId="0">
      <alignment horizontal="center" vertical="center" wrapText="1"/>
    </xf>
    <xf numFmtId="0" fontId="16" fillId="2" borderId="39" applyAlignment="1" pivotButton="0" quotePrefix="0" xfId="0">
      <alignment horizontal="center" vertical="center" wrapText="1"/>
    </xf>
    <xf numFmtId="0" fontId="35" fillId="6" borderId="97" applyAlignment="1" applyProtection="1" pivotButton="0" quotePrefix="0" xfId="0">
      <alignment horizontal="center" vertical="center" wrapText="1"/>
      <protection locked="0" hidden="0"/>
    </xf>
    <xf numFmtId="0" fontId="35" fillId="6" borderId="99" applyAlignment="1" applyProtection="1" pivotButton="0" quotePrefix="0" xfId="0">
      <alignment horizontal="center" vertical="center" wrapText="1"/>
      <protection locked="0" hidden="0"/>
    </xf>
    <xf numFmtId="0" fontId="12" fillId="7" borderId="44" applyAlignment="1" pivotButton="0" quotePrefix="0" xfId="0">
      <alignment horizontal="center"/>
    </xf>
    <xf numFmtId="0" fontId="12" fillId="7" borderId="45" applyAlignment="1" pivotButton="0" quotePrefix="0" xfId="0">
      <alignment horizontal="center"/>
    </xf>
    <xf numFmtId="0" fontId="29" fillId="6" borderId="0" applyAlignment="1" pivotButton="0" quotePrefix="0" xfId="0">
      <alignment horizontal="left" vertical="center" wrapText="1"/>
    </xf>
    <xf numFmtId="0" fontId="18" fillId="0" borderId="87" applyAlignment="1" pivotButton="0" quotePrefix="0" xfId="0">
      <alignment horizontal="center" vertical="center"/>
    </xf>
    <xf numFmtId="0" fontId="18" fillId="0" borderId="86" applyAlignment="1" pivotButton="0" quotePrefix="0" xfId="0">
      <alignment horizontal="center" vertical="center"/>
    </xf>
    <xf numFmtId="0" fontId="22" fillId="6" borderId="87" applyAlignment="1" applyProtection="1" pivotButton="0" quotePrefix="0" xfId="0">
      <alignment horizontal="center" vertical="center" wrapText="1"/>
      <protection locked="0" hidden="0"/>
    </xf>
    <xf numFmtId="0" fontId="22" fillId="6" borderId="85" applyAlignment="1" applyProtection="1" pivotButton="0" quotePrefix="0" xfId="0">
      <alignment horizontal="center" vertical="center" wrapText="1"/>
      <protection locked="0" hidden="0"/>
    </xf>
    <xf numFmtId="0" fontId="22" fillId="6" borderId="86" applyAlignment="1" applyProtection="1" pivotButton="0" quotePrefix="0" xfId="0">
      <alignment horizontal="center" vertical="center" wrapText="1"/>
      <protection locked="0" hidden="0"/>
    </xf>
    <xf numFmtId="0" fontId="22" fillId="6" borderId="78" applyAlignment="1" applyProtection="1" pivotButton="0" quotePrefix="0" xfId="0">
      <alignment horizontal="center" vertical="center" wrapText="1"/>
      <protection locked="0" hidden="0"/>
    </xf>
    <xf numFmtId="0" fontId="22" fillId="6" borderId="72" applyAlignment="1" applyProtection="1" pivotButton="0" quotePrefix="0" xfId="0">
      <alignment horizontal="center" vertical="center" wrapText="1"/>
      <protection locked="0" hidden="0"/>
    </xf>
    <xf numFmtId="0" fontId="22" fillId="6" borderId="73" applyAlignment="1" applyProtection="1" pivotButton="0" quotePrefix="0" xfId="0">
      <alignment horizontal="center" vertical="center" wrapText="1"/>
      <protection locked="0" hidden="0"/>
    </xf>
    <xf numFmtId="0" fontId="11" fillId="2" borderId="74" applyAlignment="1" pivotButton="0" quotePrefix="0" xfId="0">
      <alignment horizontal="center" vertical="top" wrapText="1"/>
    </xf>
    <xf numFmtId="0" fontId="11" fillId="2" borderId="75" applyAlignment="1" pivotButton="0" quotePrefix="0" xfId="0">
      <alignment horizontal="center" vertical="top" wrapText="1"/>
    </xf>
    <xf numFmtId="0" fontId="10" fillId="3" borderId="51" applyAlignment="1" pivotButton="0" quotePrefix="0" xfId="0">
      <alignment horizontal="center" vertical="center" wrapText="1"/>
    </xf>
    <xf numFmtId="0" fontId="10" fillId="3" borderId="52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4" fillId="4" borderId="35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5" borderId="35" applyAlignment="1" pivotButton="0" quotePrefix="0" xfId="0">
      <alignment horizontal="center" vertical="center"/>
    </xf>
    <xf numFmtId="0" fontId="5" fillId="5" borderId="36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10" fillId="3" borderId="20" applyAlignment="1" pivotButton="0" quotePrefix="0" xfId="0">
      <alignment horizontal="right" vertical="center" wrapText="1"/>
    </xf>
    <xf numFmtId="0" fontId="10" fillId="3" borderId="21" applyAlignment="1" pivotButton="0" quotePrefix="0" xfId="0">
      <alignment horizontal="right" vertical="center" wrapText="1"/>
    </xf>
    <xf numFmtId="0" fontId="10" fillId="3" borderId="22" applyAlignment="1" pivotButton="0" quotePrefix="0" xfId="0">
      <alignment horizontal="right" vertical="center" wrapText="1"/>
    </xf>
    <xf numFmtId="0" fontId="10" fillId="3" borderId="23" applyAlignment="1" pivotButton="0" quotePrefix="0" xfId="0">
      <alignment horizontal="left" vertical="center" wrapText="1"/>
    </xf>
    <xf numFmtId="0" fontId="10" fillId="3" borderId="21" applyAlignment="1" pivotButton="0" quotePrefix="0" xfId="0">
      <alignment horizontal="left" vertical="center" wrapText="1"/>
    </xf>
    <xf numFmtId="0" fontId="10" fillId="3" borderId="24" applyAlignment="1" pivotButton="0" quotePrefix="0" xfId="0">
      <alignment horizontal="left" vertical="center" wrapText="1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10" fillId="3" borderId="82" applyAlignment="1" pivotButton="0" quotePrefix="0" xfId="0">
      <alignment horizontal="center" vertical="center" wrapText="1"/>
    </xf>
    <xf numFmtId="0" fontId="10" fillId="3" borderId="81" applyAlignment="1" pivotButton="0" quotePrefix="0" xfId="0">
      <alignment horizontal="center" vertical="center" wrapText="1"/>
    </xf>
    <xf numFmtId="0" fontId="10" fillId="3" borderId="83" applyAlignment="1" pivotButton="0" quotePrefix="0" xfId="0">
      <alignment horizontal="center" vertical="center" wrapText="1"/>
    </xf>
    <xf numFmtId="0" fontId="20" fillId="6" borderId="109" applyAlignment="1" pivotButton="0" quotePrefix="0" xfId="0">
      <alignment horizontal="center" vertical="center" wrapText="1"/>
    </xf>
    <xf numFmtId="0" fontId="35" fillId="6" borderId="108" applyAlignment="1" applyProtection="1" pivotButton="0" quotePrefix="0" xfId="0">
      <alignment horizontal="center" vertical="center" wrapText="1"/>
      <protection locked="0" hidden="0"/>
    </xf>
    <xf numFmtId="0" fontId="35" fillId="6" borderId="110" applyAlignment="1" applyProtection="1" pivotButton="0" quotePrefix="0" xfId="0">
      <alignment vertical="center" wrapText="1"/>
      <protection locked="0" hidden="0"/>
    </xf>
    <xf numFmtId="0" fontId="0" fillId="0" borderId="88" applyAlignment="1" pivotButton="0" quotePrefix="0" xfId="0">
      <alignment horizontal="center" vertical="center"/>
    </xf>
    <xf numFmtId="0" fontId="18" fillId="0" borderId="89" applyAlignment="1" pivotButton="0" quotePrefix="0" xfId="0">
      <alignment horizontal="center" vertical="center" wrapText="1"/>
    </xf>
    <xf numFmtId="0" fontId="22" fillId="0" borderId="89" applyAlignment="1" applyProtection="1" pivotButton="0" quotePrefix="0" xfId="0">
      <alignment horizontal="center" vertical="center" wrapText="1"/>
      <protection locked="0" hidden="0"/>
    </xf>
    <xf numFmtId="0" fontId="26" fillId="0" borderId="89" applyAlignment="1" pivotButton="0" quotePrefix="0" xfId="0">
      <alignment horizontal="center" vertical="center" wrapText="1"/>
    </xf>
    <xf numFmtId="0" fontId="24" fillId="0" borderId="89" applyAlignment="1" applyProtection="1" pivotButton="0" quotePrefix="0" xfId="0">
      <alignment horizontal="center" vertical="center" wrapText="1"/>
      <protection locked="0" hidden="0"/>
    </xf>
    <xf numFmtId="0" fontId="0" fillId="0" borderId="79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 wrapText="1"/>
    </xf>
    <xf numFmtId="0" fontId="22" fillId="0" borderId="76" applyAlignment="1" applyProtection="1" pivotButton="0" quotePrefix="0" xfId="0">
      <alignment horizontal="center" vertical="center" wrapText="1"/>
      <protection locked="0" hidden="0"/>
    </xf>
    <xf numFmtId="0" fontId="26" fillId="0" borderId="76" applyAlignment="1" pivotButton="0" quotePrefix="0" xfId="0">
      <alignment horizontal="center" vertical="center" wrapText="1"/>
    </xf>
    <xf numFmtId="0" fontId="24" fillId="0" borderId="76" applyAlignment="1" applyProtection="1" pivotButton="0" quotePrefix="0" xfId="0">
      <alignment horizontal="center" vertical="center" wrapText="1"/>
      <protection locked="0" hidden="0"/>
    </xf>
    <xf numFmtId="0" fontId="16" fillId="2" borderId="42" applyAlignment="1" pivotButton="0" quotePrefix="0" xfId="0">
      <alignment horizontal="center" vertical="center" wrapText="1"/>
    </xf>
    <xf numFmtId="0" fontId="17" fillId="2" borderId="42" applyAlignment="1" pivotButton="0" quotePrefix="0" xfId="1">
      <alignment horizontal="center" vertical="center" wrapText="1"/>
    </xf>
    <xf numFmtId="0" fontId="0" fillId="0" borderId="39" pivotButton="0" quotePrefix="0" xfId="0"/>
    <xf numFmtId="0" fontId="0" fillId="0" borderId="41" pivotButton="0" quotePrefix="0" xfId="0"/>
    <xf numFmtId="166" fontId="16" fillId="2" borderId="41" applyAlignment="1" pivotButton="0" quotePrefix="0" xfId="0">
      <alignment horizontal="center" vertical="center" wrapText="1"/>
    </xf>
    <xf numFmtId="0" fontId="0" fillId="0" borderId="136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32" fillId="0" borderId="88" applyAlignment="1" pivotButton="0" quotePrefix="0" xfId="0">
      <alignment horizontal="center" vertical="center"/>
    </xf>
    <xf numFmtId="0" fontId="0" fillId="0" borderId="117" pivotButton="0" quotePrefix="0" xfId="0"/>
    <xf numFmtId="0" fontId="0" fillId="0" borderId="128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30" applyAlignment="1" pivotButton="0" quotePrefix="0" xfId="0">
      <alignment horizontal="center" vertical="center"/>
    </xf>
    <xf numFmtId="0" fontId="3" fillId="0" borderId="12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4" pivotButton="0" quotePrefix="0" xfId="0"/>
    <xf numFmtId="0" fontId="4" fillId="4" borderId="125" applyAlignment="1" pivotButton="0" quotePrefix="0" xfId="0">
      <alignment horizontal="center" vertical="center"/>
    </xf>
    <xf numFmtId="0" fontId="0" fillId="0" borderId="36" pivotButton="0" quotePrefix="0" xfId="0"/>
    <xf numFmtId="0" fontId="5" fillId="5" borderId="125" applyAlignment="1" pivotButton="0" quotePrefix="0" xfId="0">
      <alignment horizontal="center" vertical="center"/>
    </xf>
    <xf numFmtId="0" fontId="10" fillId="3" borderId="126" applyAlignment="1" pivotButton="0" quotePrefix="0" xfId="0">
      <alignment horizontal="right" vertical="center" wrapText="1"/>
    </xf>
    <xf numFmtId="0" fontId="0" fillId="0" borderId="81" pivotButton="0" quotePrefix="0" xfId="0"/>
    <xf numFmtId="0" fontId="0" fillId="0" borderId="22" pivotButton="0" quotePrefix="0" xfId="0"/>
    <xf numFmtId="0" fontId="10" fillId="3" borderId="127" applyAlignment="1" pivotButton="0" quotePrefix="0" xfId="0">
      <alignment horizontal="left" vertical="center" wrapText="1"/>
    </xf>
    <xf numFmtId="0" fontId="0" fillId="0" borderId="83" pivotButton="0" quotePrefix="0" xfId="0"/>
    <xf numFmtId="0" fontId="10" fillId="3" borderId="133" applyAlignment="1" pivotButton="0" quotePrefix="0" xfId="0">
      <alignment horizontal="center" vertical="center" wrapText="1"/>
    </xf>
    <xf numFmtId="0" fontId="0" fillId="0" borderId="52" pivotButton="0" quotePrefix="0" xfId="0"/>
    <xf numFmtId="0" fontId="18" fillId="0" borderId="118" applyAlignment="1" pivotButton="0" quotePrefix="0" xfId="0">
      <alignment horizontal="center" vertical="center"/>
    </xf>
    <xf numFmtId="0" fontId="0" fillId="0" borderId="121" pivotButton="0" quotePrefix="0" xfId="0"/>
    <xf numFmtId="0" fontId="22" fillId="6" borderId="118" applyAlignment="1" applyProtection="1" pivotButton="0" quotePrefix="0" xfId="0">
      <alignment horizontal="center" vertical="center" wrapText="1"/>
      <protection locked="0" hidden="0"/>
    </xf>
    <xf numFmtId="0" fontId="0" fillId="0" borderId="72" applyProtection="1" pivotButton="0" quotePrefix="0" xfId="0">
      <protection locked="0" hidden="0"/>
    </xf>
    <xf numFmtId="0" fontId="0" fillId="0" borderId="121" applyProtection="1" pivotButton="0" quotePrefix="0" xfId="0">
      <protection locked="0" hidden="0"/>
    </xf>
    <xf numFmtId="0" fontId="11" fillId="2" borderId="70" applyAlignment="1" pivotButton="0" quotePrefix="0" xfId="0">
      <alignment horizontal="center" vertical="top" wrapText="1"/>
    </xf>
    <xf numFmtId="0" fontId="0" fillId="0" borderId="75" pivotButton="0" quotePrefix="0" xfId="0"/>
    <xf numFmtId="0" fontId="22" fillId="6" borderId="134" applyAlignment="1" applyProtection="1" pivotButton="0" quotePrefix="0" xfId="0">
      <alignment horizontal="center" vertical="center" wrapText="1"/>
      <protection locked="0" hidden="0"/>
    </xf>
    <xf numFmtId="0" fontId="0" fillId="0" borderId="73" applyProtection="1" pivotButton="0" quotePrefix="0" xfId="0">
      <protection locked="0" hidden="0"/>
    </xf>
  </cellXfs>
  <cellStyles count="31">
    <cellStyle name="Normal" xfId="0" builtinId="0"/>
    <cellStyle name="Hipervínculo" xfId="1" builtinId="8"/>
    <cellStyle name="Moneda 2" xfId="2"/>
    <cellStyle name="Estilo 1" xfId="3"/>
    <cellStyle name="Estilo 1 2" xfId="4"/>
    <cellStyle name="Estilo 1 3" xfId="5"/>
    <cellStyle name="Estilo 1 4" xfId="6"/>
    <cellStyle name="Estilo 1 5" xfId="7"/>
    <cellStyle name="Estilo 1 6" xfId="8"/>
    <cellStyle name="Millares 2" xfId="9"/>
    <cellStyle name="Estilo 1 7" xfId="10"/>
    <cellStyle name="Estilo 1 8" xfId="11"/>
    <cellStyle name="Estilo 1 9" xfId="12"/>
    <cellStyle name="Estilo 1 10" xfId="13"/>
    <cellStyle name="Estilo 1 11" xfId="14"/>
    <cellStyle name="Estilo 1 12" xfId="15"/>
    <cellStyle name="Estilo 1 13" xfId="16"/>
    <cellStyle name="Estilo 1 14" xfId="17"/>
    <cellStyle name="Estilo 1 2 2" xfId="18"/>
    <cellStyle name="Estilo 1 3 2" xfId="19"/>
    <cellStyle name="Estilo 1 4 2" xfId="20"/>
    <cellStyle name="Estilo 1 5 2" xfId="21"/>
    <cellStyle name="Estilo 1 6 2" xfId="22"/>
    <cellStyle name="Millares 2 2" xfId="23"/>
    <cellStyle name="Estilo 1 7 2" xfId="24"/>
    <cellStyle name="Estilo 1 8 2" xfId="25"/>
    <cellStyle name="Estilo 1 9 2" xfId="26"/>
    <cellStyle name="Estilo 1 10 2" xfId="27"/>
    <cellStyle name="Estilo 1 11 2" xfId="28"/>
    <cellStyle name="Estilo 1 12 2" xfId="29"/>
    <cellStyle name="Estilo 1 13 2" xfId="30"/>
  </cellStyles>
  <dxfs count="12"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  <dxf>
      <font>
        <b val="1"/>
        <condense val="0"/>
        <color indexed="10"/>
        <extend val="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CMMS Industrial</author>
  </authors>
  <commentList>
    <comment ref="C12" authorId="0" shapeId="0">
      <text>
        <t>Revision zonas boquilla y cuerpo casquilo se suben de temperatura por encima del set poin.</t>
      </text>
    </comment>
    <comment ref="D12" authorId="0" shapeId="0">
      <text>
        <t>BLOQUEO POR ALARMA CONTROLADOR SP20</t>
      </text>
    </comment>
    <comment ref="F12" authorId="0" shapeId="0">
      <text>
        <t>PERDIDA DE SINCRONISMO FSM</t>
      </text>
    </comment>
    <comment ref="H12" authorId="0" shapeId="0">
      <text>
        <t>Revision daño de racor punzon #39 (fuga de agua)</t>
      </text>
    </comment>
    <comment ref="C13" authorId="0" shapeId="0">
      <text>
        <t>Entortamiento carrusel de insercion.</t>
      </text>
    </comment>
    <comment ref="D13" authorId="0" shapeId="0">
      <text>
        <t>1. Parada por alarma SP18
2. Bajar Encoder  Carrusel de Corte en la FSM 3
3. Cambiar encoder carrusel en la FSM 3 Por que se paso para habilitar la FMS 5 CCM5
4. Alarma SP20</t>
      </text>
    </comment>
    <comment ref="F13" authorId="0" shapeId="0">
      <text>
        <t>FALLA SINCRONISMO CARRUSELES</t>
      </text>
    </comment>
    <comment ref="C14" authorId="0" shapeId="0">
      <text>
        <t>Entortamiento carrusel de insercion.</t>
      </text>
    </comment>
    <comment ref="D14" authorId="0" shapeId="0">
      <text>
        <t>1. Alarma SP20
2. alarma BQ8 encoder</t>
      </text>
    </comment>
    <comment ref="G14" authorId="0" shapeId="0">
      <text>
        <t>1. tapa con anillo doblado recalentamiento en punzon
2. bloque de presion en tapa deformada refrigeracion en punzones defisiente</t>
      </text>
    </comment>
    <comment ref="B15" authorId="0" shapeId="0">
      <text>
        <t>Revision calbibracion de cuchillas</t>
      </text>
    </comment>
    <comment ref="D15" authorId="0" shapeId="0">
      <text>
        <t>1. Temperatura alta en la zona de la bomba y fuga de agua cavidad 14.
2. Temperatura alta en la zona de la bomba y fuga de ahua cavidad 14.</t>
      </text>
    </comment>
    <comment ref="B16" authorId="0" shapeId="0">
      <text>
        <t>Revision pantalla CVS - No prende</t>
      </text>
    </comment>
    <comment ref="G16" authorId="0" shapeId="0">
      <text>
        <t>DAÑO ACOPLE MANGUERA TERMOREGULADOR</t>
      </text>
    </comment>
    <comment ref="B17" authorId="0" shapeId="0">
      <text>
        <t>Falta de dosis, revision carrusel de insercion</t>
      </text>
    </comment>
    <comment ref="C17" authorId="0" shapeId="0">
      <text>
        <t>Revivion de carrusel de insercion alarma SQ18</t>
      </text>
    </comment>
    <comment ref="D17" authorId="0" shapeId="0">
      <text>
        <t>fuga de agua cavidad #16</t>
      </text>
    </comment>
    <comment ref="G17" authorId="0" shapeId="0">
      <text>
        <t>falla termoregulador temperatura alta</t>
      </text>
    </comment>
    <comment ref="C18" authorId="0" shapeId="0">
      <text>
        <t>Revivion de carrusel de insercion alarma SQ18</t>
      </text>
    </comment>
    <comment ref="G18" authorId="0" shapeId="0">
      <text>
        <t>falla termoregulador temperatura alta</t>
      </text>
    </comment>
    <comment ref="B19" authorId="0" shapeId="0">
      <text>
        <t>Revision motor centralita.</t>
      </text>
    </comment>
    <comment ref="I19" authorId="0" shapeId="0">
      <text>
        <t>1. punzon # 30 y 31 con humedad
2. Humedad en punzones 30 y 31</t>
      </text>
    </comment>
    <comment ref="C20" authorId="0" shapeId="0">
      <text>
        <t>Revision y cambio punzones posicion # 12 y # 16 presenta rechupe</t>
      </text>
    </comment>
    <comment ref="E21" authorId="0" shapeId="0">
      <text>
        <t>Revision Cavidad y Punzon No 60 Por Golpe</t>
      </text>
    </comment>
    <comment ref="E22" authorId="0" shapeId="0">
      <text>
        <t>Revision Cavidad y Punzon No 60 Por Golpe</t>
      </text>
    </comment>
    <comment ref="F24" authorId="0" shapeId="0">
      <text>
        <t>1. revision punzon # 15 y 48 por golpe
2. punzones golpeados</t>
      </text>
    </comment>
    <comment ref="I24" authorId="0" shapeId="0">
      <text>
        <t>Alarma BQ8 en FSM y fallaBY-PASS</t>
      </text>
    </comment>
    <comment ref="B26" authorId="0" shapeId="0">
      <text>
        <t>Falla FSM de Sincronismo</t>
      </text>
    </comment>
    <comment ref="E28" authorId="0" shapeId="0">
      <text>
        <t>falla por alarma 3024 controla sp5v</t>
      </text>
    </comment>
    <comment ref="C29" authorId="0" shapeId="0">
      <text>
        <t>1. revision cavida 15 por fuga aceite, revision carrusel de insercion |por tapa doblada
2. tapa golpeada, error sincronizacion
3. Revisicion cavidad #15 por falla en la inspeccion del palley</t>
      </text>
    </comment>
    <comment ref="C30" authorId="0" shapeId="0">
      <text>
        <t>Falla por sincronizacion en la fsm</t>
      </text>
    </comment>
    <comment ref="B31" authorId="0" shapeId="0">
      <text>
        <t>Revision fuga material tornillo estrusor</t>
      </text>
    </comment>
    <comment ref="D31" authorId="0" shapeId="0">
      <text>
        <t>Falta de grasa en la  FSM</t>
      </text>
    </comment>
    <comment ref="C32" authorId="0" shapeId="0">
      <text>
        <t>Parada por alarma BQ8 en la FSM</t>
      </text>
    </comment>
    <comment ref="F32" authorId="0" shapeId="0">
      <text>
        <t>Revision punzon y cavidad # 2 por golpe</t>
      </text>
    </comment>
    <comment ref="C33" authorId="0" shapeId="0">
      <text>
        <t>Parada por alarma BQ8 en la FSM</t>
      </text>
    </comment>
    <comment ref="E35" authorId="0" shapeId="0">
      <text>
        <t>Parada Por Leve Golpe Punzon No 5</t>
      </text>
    </comment>
    <comment ref="B36" authorId="0" shapeId="0">
      <text>
        <t>Revisar alarma SP19</t>
      </text>
    </comment>
    <comment ref="E36" authorId="0" shapeId="0">
      <text>
        <t>1. Punzon 46 posicion 5 concavidad alta.
2. Revisionpunzon # 46 posicion # 5 por concavidad alta</t>
      </text>
    </comment>
    <comment ref="E37" authorId="0" shapeId="0">
      <text>
        <t>Revision punzones #43 - #41 por rebaba posicion #5 - #41</t>
      </text>
    </comment>
    <comment ref="C38" authorId="0" shapeId="0">
      <text>
        <t>punzon # 4 por concavidad fuera de norma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showWhiteSpace="0" zoomScale="90" zoomScaleNormal="90" zoomScalePageLayoutView="90" workbookViewId="0">
      <selection activeCell="B10" sqref="B10:K41"/>
    </sheetView>
  </sheetViews>
  <sheetFormatPr baseColWidth="10" defaultRowHeight="15"/>
  <cols>
    <col width="15.7109375" bestFit="1" customWidth="1" min="1" max="1"/>
    <col width="11.5703125" bestFit="1" customWidth="1" min="2" max="8"/>
    <col width="11.5703125" customWidth="1" min="9" max="9"/>
    <col width="11.5703125" bestFit="1" customWidth="1" min="10" max="10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>
      <c r="A5" s="21" t="n"/>
      <c r="C5" s="21" t="n"/>
      <c r="D5" s="21" t="n"/>
      <c r="E5" s="21" t="n"/>
      <c r="F5" s="21" t="n"/>
      <c r="G5" s="21" t="n"/>
      <c r="H5" s="21" t="n"/>
      <c r="I5" s="21" t="n"/>
      <c r="J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15.75" customHeight="1" thickBot="1">
      <c r="A7" s="27" t="n"/>
      <c r="B7" s="27" t="n"/>
      <c r="C7" s="27" t="n"/>
      <c r="D7" s="27" t="n"/>
      <c r="E7" s="27" t="n"/>
      <c r="F7" s="27" t="n"/>
      <c r="G7" s="27" t="n"/>
      <c r="H7" s="28" t="n"/>
      <c r="I7" s="28" t="n"/>
      <c r="J7" s="28" t="n"/>
    </row>
    <row r="8" ht="15.75" customHeight="1" thickTop="1">
      <c r="A8" s="175" t="inlineStr">
        <is>
          <t xml:space="preserve">DÍA / planta </t>
        </is>
      </c>
      <c r="B8" s="176" t="inlineStr">
        <is>
          <t>CCM 01</t>
        </is>
      </c>
      <c r="C8" s="176" t="inlineStr">
        <is>
          <t>CCM 02</t>
        </is>
      </c>
      <c r="D8" s="176" t="inlineStr">
        <is>
          <t>CCM 03</t>
        </is>
      </c>
      <c r="E8" s="176" t="inlineStr">
        <is>
          <t>CCM 04</t>
        </is>
      </c>
      <c r="F8" s="176" t="inlineStr">
        <is>
          <t>CCM 05</t>
        </is>
      </c>
      <c r="G8" s="176" t="inlineStr">
        <is>
          <t>CCM 06</t>
        </is>
      </c>
      <c r="H8" s="176" t="inlineStr">
        <is>
          <t>CCM7</t>
        </is>
      </c>
      <c r="I8" s="176" t="inlineStr">
        <is>
          <t>CCM8</t>
        </is>
      </c>
      <c r="J8" s="176" t="inlineStr">
        <is>
          <t>PMV 02</t>
        </is>
      </c>
      <c r="K8" s="110" t="inlineStr">
        <is>
          <t>PMV 04</t>
        </is>
      </c>
      <c r="L8" s="110" t="inlineStr">
        <is>
          <t>Total día</t>
        </is>
      </c>
    </row>
    <row r="9" ht="15.75" customHeight="1" thickBot="1">
      <c r="A9" s="177" t="n"/>
      <c r="B9" s="177" t="n"/>
      <c r="C9" s="177" t="n"/>
      <c r="D9" s="177" t="n"/>
      <c r="E9" s="177" t="n"/>
      <c r="F9" s="177" t="n"/>
      <c r="G9" s="177" t="n"/>
      <c r="H9" s="177" t="n"/>
      <c r="I9" s="177" t="n"/>
      <c r="J9" s="177" t="n"/>
      <c r="K9" s="178" t="n"/>
      <c r="L9" s="178" t="n"/>
    </row>
    <row r="10" ht="15.75" customHeight="1" thickTop="1">
      <c r="A10" s="179" t="n">
        <v>46141</v>
      </c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>
        <f>SUM(B10:K10)</f>
        <v/>
      </c>
    </row>
    <row r="11">
      <c r="A11" s="179" t="n">
        <v>46142</v>
      </c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40">
        <f>SUM(B11:K11)</f>
        <v/>
      </c>
    </row>
    <row r="12">
      <c r="A12" s="179" t="n">
        <v>46143</v>
      </c>
      <c r="B12" s="63" t="n"/>
      <c r="C12" s="63" t="n">
        <v>160</v>
      </c>
      <c r="D12" s="63" t="n">
        <v>200</v>
      </c>
      <c r="E12" s="63" t="n"/>
      <c r="F12" s="63" t="n">
        <v>120</v>
      </c>
      <c r="G12" s="63" t="n"/>
      <c r="H12" s="63" t="n">
        <v>480</v>
      </c>
      <c r="I12" s="63" t="n"/>
      <c r="J12" s="63" t="n"/>
      <c r="K12" s="63" t="n"/>
      <c r="L12" s="40">
        <f>SUM(B12:K12)</f>
        <v/>
      </c>
    </row>
    <row r="13">
      <c r="A13" s="179" t="n">
        <v>46144</v>
      </c>
      <c r="B13" s="63" t="n"/>
      <c r="C13" s="63" t="n">
        <v>30</v>
      </c>
      <c r="D13" s="63" t="n">
        <v>740</v>
      </c>
      <c r="E13" s="63" t="n"/>
      <c r="F13" s="63" t="n">
        <v>780</v>
      </c>
      <c r="G13" s="63" t="n"/>
      <c r="H13" s="63" t="n"/>
      <c r="I13" s="63" t="n"/>
      <c r="J13" s="63" t="n"/>
      <c r="K13" s="63" t="n"/>
      <c r="L13" s="40">
        <f>SUM(B13:K13)</f>
        <v/>
      </c>
    </row>
    <row r="14">
      <c r="A14" s="179" t="n">
        <v>46145</v>
      </c>
      <c r="B14" s="63" t="n"/>
      <c r="C14" s="63" t="n">
        <v>300</v>
      </c>
      <c r="D14" s="63" t="n">
        <v>670</v>
      </c>
      <c r="E14" s="63" t="n"/>
      <c r="F14" s="63" t="n"/>
      <c r="G14" s="63" t="n">
        <v>680</v>
      </c>
      <c r="H14" s="63" t="n"/>
      <c r="I14" s="63" t="n"/>
      <c r="J14" s="63" t="n"/>
      <c r="K14" s="63" t="n"/>
      <c r="L14" s="40">
        <f>SUM(B14:K14)</f>
        <v/>
      </c>
    </row>
    <row r="15">
      <c r="A15" s="179" t="n">
        <v>46146</v>
      </c>
      <c r="B15" s="63" t="n">
        <v>25</v>
      </c>
      <c r="C15" s="63" t="n"/>
      <c r="D15" s="63" t="n">
        <v>380</v>
      </c>
      <c r="E15" s="63" t="n"/>
      <c r="F15" s="63" t="n"/>
      <c r="G15" s="63" t="n"/>
      <c r="H15" s="63" t="n"/>
      <c r="I15" s="63" t="n"/>
      <c r="J15" s="63" t="n"/>
      <c r="K15" s="63" t="n"/>
      <c r="L15" s="40">
        <f>SUM(B15:K15)</f>
        <v/>
      </c>
    </row>
    <row r="16">
      <c r="A16" s="179" t="n">
        <v>46147</v>
      </c>
      <c r="B16" s="63" t="n">
        <v>120</v>
      </c>
      <c r="C16" s="63" t="n"/>
      <c r="D16" s="63" t="n"/>
      <c r="E16" s="63" t="n"/>
      <c r="F16" s="63" t="n"/>
      <c r="G16" s="63" t="n">
        <v>180</v>
      </c>
      <c r="H16" s="63" t="n"/>
      <c r="I16" s="63" t="n"/>
      <c r="J16" s="63" t="n"/>
      <c r="K16" s="63" t="n"/>
      <c r="L16" s="40">
        <f>SUM(B16:K16)</f>
        <v/>
      </c>
    </row>
    <row r="17">
      <c r="A17" s="179" t="n">
        <v>46148</v>
      </c>
      <c r="B17" s="63" t="n">
        <v>300</v>
      </c>
      <c r="C17" s="63" t="n">
        <v>150</v>
      </c>
      <c r="D17" s="63" t="n">
        <v>60</v>
      </c>
      <c r="E17" s="63" t="n"/>
      <c r="F17" s="63" t="n"/>
      <c r="G17" s="63" t="n">
        <v>360</v>
      </c>
      <c r="H17" s="63" t="n"/>
      <c r="I17" s="63" t="n"/>
      <c r="J17" s="63" t="n"/>
      <c r="K17" s="63" t="n"/>
      <c r="L17" s="40">
        <f>SUM(B17:K17)</f>
        <v/>
      </c>
    </row>
    <row r="18">
      <c r="A18" s="179" t="n">
        <v>46149</v>
      </c>
      <c r="B18" s="63" t="n"/>
      <c r="C18" s="63" t="n">
        <v>265</v>
      </c>
      <c r="D18" s="63" t="n"/>
      <c r="E18" s="63" t="n"/>
      <c r="F18" s="63" t="n"/>
      <c r="G18" s="63" t="n">
        <v>180</v>
      </c>
      <c r="H18" s="63" t="n"/>
      <c r="I18" s="63" t="n"/>
      <c r="J18" s="63" t="n"/>
      <c r="K18" s="63" t="n"/>
      <c r="L18" s="40">
        <f>SUM(B18:K18)</f>
        <v/>
      </c>
    </row>
    <row r="19">
      <c r="A19" s="179" t="n">
        <v>46150</v>
      </c>
      <c r="B19" s="63" t="n">
        <v>225</v>
      </c>
      <c r="C19" s="63" t="n"/>
      <c r="D19" s="63" t="n"/>
      <c r="E19" s="63" t="n"/>
      <c r="F19" s="63" t="n"/>
      <c r="G19" s="63" t="n"/>
      <c r="H19" s="63" t="n"/>
      <c r="I19" s="63" t="n">
        <v>150</v>
      </c>
      <c r="J19" s="63" t="n"/>
      <c r="K19" s="63" t="n"/>
      <c r="L19" s="40">
        <f>SUM(B19:K19)</f>
        <v/>
      </c>
    </row>
    <row r="20">
      <c r="A20" s="179" t="n">
        <v>46151</v>
      </c>
      <c r="B20" s="63" t="n"/>
      <c r="C20" s="63" t="n">
        <v>70</v>
      </c>
      <c r="D20" s="63" t="n"/>
      <c r="E20" s="63" t="n"/>
      <c r="F20" s="63" t="n"/>
      <c r="G20" s="63" t="n"/>
      <c r="H20" s="63" t="n"/>
      <c r="I20" s="63" t="n"/>
      <c r="J20" s="63" t="n"/>
      <c r="K20" s="63" t="n"/>
      <c r="L20" s="40">
        <f>SUM(B20:K20)</f>
        <v/>
      </c>
    </row>
    <row r="21">
      <c r="A21" s="179" t="n">
        <v>46152</v>
      </c>
      <c r="B21" s="63" t="n"/>
      <c r="C21" s="63" t="n"/>
      <c r="D21" s="63" t="n"/>
      <c r="E21" s="63" t="n">
        <v>30</v>
      </c>
      <c r="F21" s="63" t="n"/>
      <c r="G21" s="63" t="n"/>
      <c r="H21" s="63" t="n"/>
      <c r="I21" s="63" t="n"/>
      <c r="J21" s="63" t="n"/>
      <c r="K21" s="63" t="n"/>
      <c r="L21" s="40">
        <f>SUM(B21:K21)</f>
        <v/>
      </c>
    </row>
    <row r="22">
      <c r="A22" s="179" t="n">
        <v>46153</v>
      </c>
      <c r="B22" s="63" t="n"/>
      <c r="C22" s="63" t="n"/>
      <c r="D22" s="63" t="n"/>
      <c r="E22" s="63" t="n">
        <v>90</v>
      </c>
      <c r="F22" s="63" t="n"/>
      <c r="G22" s="63" t="n"/>
      <c r="H22" s="63" t="n"/>
      <c r="I22" s="63" t="n"/>
      <c r="J22" s="63" t="n"/>
      <c r="K22" s="63" t="n"/>
      <c r="L22" s="40">
        <f>SUM(B22:K22)</f>
        <v/>
      </c>
    </row>
    <row r="23">
      <c r="A23" s="179" t="n">
        <v>46154</v>
      </c>
      <c r="B23" s="63" t="n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40">
        <f>SUM(B23:K23)</f>
        <v/>
      </c>
    </row>
    <row r="24">
      <c r="A24" s="179" t="n">
        <v>46155</v>
      </c>
      <c r="B24" s="63" t="n"/>
      <c r="C24" s="63" t="n"/>
      <c r="D24" s="63" t="n"/>
      <c r="E24" s="63" t="n"/>
      <c r="F24" s="63" t="n">
        <v>495</v>
      </c>
      <c r="G24" s="63" t="n"/>
      <c r="H24" s="63" t="n"/>
      <c r="I24" s="63" t="n">
        <v>200</v>
      </c>
      <c r="J24" s="63" t="n"/>
      <c r="K24" s="63" t="n"/>
      <c r="L24" s="40">
        <f>SUM(B24:K24)</f>
        <v/>
      </c>
    </row>
    <row r="25">
      <c r="A25" s="179" t="n">
        <v>46156</v>
      </c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40">
        <f>SUM(B25:K25)</f>
        <v/>
      </c>
    </row>
    <row r="26">
      <c r="A26" s="179" t="n">
        <v>46157</v>
      </c>
      <c r="B26" s="63" t="n">
        <v>310</v>
      </c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40">
        <f>SUM(B26:K26)</f>
        <v/>
      </c>
    </row>
    <row r="27">
      <c r="A27" s="179" t="n">
        <v>46158</v>
      </c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40">
        <f>SUM(B27:K27)</f>
        <v/>
      </c>
    </row>
    <row r="28">
      <c r="A28" s="179" t="n">
        <v>46159</v>
      </c>
      <c r="B28" s="63" t="n"/>
      <c r="C28" s="63" t="n"/>
      <c r="D28" s="63" t="n"/>
      <c r="E28" s="63" t="n">
        <v>200</v>
      </c>
      <c r="F28" s="63" t="n"/>
      <c r="G28" s="63" t="n"/>
      <c r="H28" s="63" t="n"/>
      <c r="I28" s="63" t="n"/>
      <c r="J28" s="63" t="n"/>
      <c r="K28" s="63" t="n"/>
      <c r="L28" s="40">
        <f>SUM(B28:K28)</f>
        <v/>
      </c>
    </row>
    <row r="29">
      <c r="A29" s="179" t="n">
        <v>46160</v>
      </c>
      <c r="B29" s="63" t="n"/>
      <c r="C29" s="63" t="n">
        <v>1105</v>
      </c>
      <c r="D29" s="63" t="n"/>
      <c r="E29" s="63" t="n"/>
      <c r="F29" s="63" t="n"/>
      <c r="G29" s="63" t="n"/>
      <c r="H29" s="63" t="n"/>
      <c r="I29" s="63" t="n"/>
      <c r="J29" s="63" t="n"/>
      <c r="K29" s="63" t="n"/>
      <c r="L29" s="40">
        <f>SUM(B29:K29)</f>
        <v/>
      </c>
    </row>
    <row r="30">
      <c r="A30" s="179" t="n">
        <v>46161</v>
      </c>
      <c r="B30" s="63" t="n"/>
      <c r="C30" s="63" t="n">
        <v>645</v>
      </c>
      <c r="D30" s="63" t="n"/>
      <c r="E30" s="63" t="n"/>
      <c r="F30" s="63" t="n"/>
      <c r="G30" s="63" t="n"/>
      <c r="H30" s="63" t="n"/>
      <c r="I30" s="63" t="n"/>
      <c r="J30" s="63" t="n"/>
      <c r="K30" s="63" t="n"/>
      <c r="L30" s="40">
        <f>SUM(B30:K30)</f>
        <v/>
      </c>
    </row>
    <row r="31">
      <c r="A31" s="179" t="n">
        <v>46162</v>
      </c>
      <c r="B31" s="63" t="n">
        <v>240</v>
      </c>
      <c r="C31" s="63" t="n"/>
      <c r="D31" s="63" t="n">
        <v>60</v>
      </c>
      <c r="E31" s="63" t="n"/>
      <c r="F31" s="63" t="n"/>
      <c r="G31" s="63" t="n"/>
      <c r="H31" s="63" t="n"/>
      <c r="I31" s="63" t="n"/>
      <c r="J31" s="63" t="n"/>
      <c r="K31" s="63" t="n"/>
      <c r="L31" s="40">
        <f>SUM(B31:K31)</f>
        <v/>
      </c>
    </row>
    <row r="32">
      <c r="A32" s="179" t="n">
        <v>46163</v>
      </c>
      <c r="B32" s="63" t="n"/>
      <c r="C32" s="63" t="n">
        <v>757</v>
      </c>
      <c r="D32" s="63" t="n"/>
      <c r="E32" s="63" t="n"/>
      <c r="F32" s="63" t="n">
        <v>170</v>
      </c>
      <c r="G32" s="63" t="n"/>
      <c r="H32" s="63" t="n"/>
      <c r="I32" s="63" t="n"/>
      <c r="J32" s="63" t="n"/>
      <c r="K32" s="63" t="n"/>
      <c r="L32" s="40">
        <f>SUM(B32:K32)</f>
        <v/>
      </c>
    </row>
    <row r="33">
      <c r="A33" s="179" t="n">
        <v>46164</v>
      </c>
      <c r="B33" s="63" t="n"/>
      <c r="C33" s="63" t="n">
        <v>350</v>
      </c>
      <c r="D33" s="63" t="n"/>
      <c r="E33" s="63" t="n"/>
      <c r="F33" s="63" t="n"/>
      <c r="G33" s="63" t="n"/>
      <c r="H33" s="63" t="n"/>
      <c r="I33" s="63" t="n"/>
      <c r="J33" s="63" t="n"/>
      <c r="K33" s="63" t="n"/>
      <c r="L33" s="40">
        <f>SUM(B33:K33)</f>
        <v/>
      </c>
    </row>
    <row r="34">
      <c r="A34" s="179" t="n">
        <v>46165</v>
      </c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40">
        <f>SUM(B34:K34)</f>
        <v/>
      </c>
    </row>
    <row r="35">
      <c r="A35" s="179" t="n">
        <v>46166</v>
      </c>
      <c r="B35" s="63" t="n"/>
      <c r="C35" s="63" t="n"/>
      <c r="D35" s="63" t="n"/>
      <c r="E35" s="63" t="n">
        <v>50</v>
      </c>
      <c r="F35" s="63" t="n"/>
      <c r="G35" s="63" t="n"/>
      <c r="H35" s="63" t="n"/>
      <c r="I35" s="63" t="n"/>
      <c r="J35" s="63" t="n"/>
      <c r="K35" s="63" t="n"/>
      <c r="L35" s="40">
        <f>SUM(B35:K35)</f>
        <v/>
      </c>
    </row>
    <row r="36">
      <c r="A36" s="179" t="n">
        <v>46167</v>
      </c>
      <c r="B36" s="63" t="n">
        <v>20</v>
      </c>
      <c r="C36" s="63" t="n"/>
      <c r="D36" s="63" t="n"/>
      <c r="E36" s="63" t="n">
        <v>80</v>
      </c>
      <c r="F36" s="63" t="n"/>
      <c r="G36" s="63" t="n"/>
      <c r="H36" s="63" t="n"/>
      <c r="I36" s="63" t="n"/>
      <c r="J36" s="63" t="n"/>
      <c r="K36" s="63" t="n"/>
      <c r="L36" s="40">
        <f>SUM(B36:K36)</f>
        <v/>
      </c>
    </row>
    <row r="37">
      <c r="A37" s="179" t="n">
        <v>46168</v>
      </c>
      <c r="B37" s="63" t="n"/>
      <c r="C37" s="63" t="n"/>
      <c r="D37" s="63" t="n"/>
      <c r="E37" s="63" t="n">
        <v>30</v>
      </c>
      <c r="F37" s="63" t="n"/>
      <c r="G37" s="63" t="n"/>
      <c r="H37" s="63" t="n"/>
      <c r="I37" s="63" t="n"/>
      <c r="J37" s="63" t="n"/>
      <c r="K37" s="63" t="n"/>
      <c r="L37" s="40">
        <f>SUM(B37:K37)</f>
        <v/>
      </c>
    </row>
    <row r="38" ht="14.25" customHeight="1">
      <c r="A38" s="179" t="n">
        <v>46169</v>
      </c>
      <c r="B38" s="63" t="n"/>
      <c r="C38" s="63" t="n">
        <v>70</v>
      </c>
      <c r="D38" s="63" t="n"/>
      <c r="E38" s="63" t="n"/>
      <c r="F38" s="63" t="n"/>
      <c r="G38" s="63" t="n"/>
      <c r="H38" s="63" t="n"/>
      <c r="I38" s="63" t="n"/>
      <c r="J38" s="63" t="n"/>
      <c r="K38" s="63" t="n"/>
      <c r="L38" s="40">
        <f>SUM(B38:K38)</f>
        <v/>
      </c>
    </row>
    <row r="39">
      <c r="A39" s="179" t="n">
        <v>46170</v>
      </c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40">
        <f>SUM(B39:K39)</f>
        <v/>
      </c>
    </row>
    <row r="40">
      <c r="A40" s="29" t="n"/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40">
        <f>SUM(B40:K40)</f>
        <v/>
      </c>
    </row>
    <row r="41" ht="15.75" customHeight="1" thickBot="1">
      <c r="A41" s="29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40">
        <f>SUM(B41:K41)</f>
        <v/>
      </c>
    </row>
    <row r="42" hidden="1" ht="15.75" customHeight="1" thickBot="1">
      <c r="A42" s="29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40">
        <f>SUM(B42:K42)</f>
        <v/>
      </c>
    </row>
    <row r="43" ht="16.5" customHeight="1" thickBot="1" thickTop="1">
      <c r="A43" s="30" t="n"/>
      <c r="B43" s="31">
        <f>SUM(B10:B39)</f>
        <v/>
      </c>
      <c r="C43" s="31">
        <f>SUM(C10:C39)</f>
        <v/>
      </c>
      <c r="D43" s="31">
        <f>SUM(D10:D39)</f>
        <v/>
      </c>
      <c r="E43" s="31">
        <f>SUM(E10:E39)</f>
        <v/>
      </c>
      <c r="F43" s="31">
        <f>SUM(F10:F39)</f>
        <v/>
      </c>
      <c r="G43" s="31">
        <f>SUM(G10:G39)</f>
        <v/>
      </c>
      <c r="H43" s="31">
        <f>SUM(H10:H39)</f>
        <v/>
      </c>
      <c r="I43" s="31">
        <f>SUM(I10:I39)</f>
        <v/>
      </c>
      <c r="J43" s="31">
        <f>SUM(J10:J39)</f>
        <v/>
      </c>
      <c r="K43" s="31">
        <f>SUM(K10:K39)</f>
        <v/>
      </c>
      <c r="L43" s="33">
        <f>SUM(B43:K43)</f>
        <v/>
      </c>
    </row>
    <row r="44" ht="15.75" customHeight="1" thickTop="1"/>
  </sheetData>
  <mergeCells count="12">
    <mergeCell ref="A8:A9"/>
    <mergeCell ref="E8:E9"/>
    <mergeCell ref="C8:C9"/>
    <mergeCell ref="H8:H9"/>
    <mergeCell ref="F8:F9"/>
    <mergeCell ref="L8:L9"/>
    <mergeCell ref="G8:G9"/>
    <mergeCell ref="J8:J9"/>
    <mergeCell ref="K8:K9"/>
    <mergeCell ref="I8:I9"/>
    <mergeCell ref="D8:D9"/>
    <mergeCell ref="B8:B9"/>
  </mergeCells>
  <hyperlinks>
    <hyperlink ref="B8" location="'Trabajos Realizados CCM1'!A1" display="CCM 01"/>
    <hyperlink ref="C8" location="'Trabajos Realizados CCM2'!A1" display="CCM 02"/>
    <hyperlink ref="D8" location="'Trabajos Realizados CCM3'!A1" display="CCM 03"/>
    <hyperlink ref="E8" location="'Trabajos Realizados CCM64-1'!A1" display="CCM 04"/>
    <hyperlink ref="F8" location="'Trabajos Realizados CCM64-2'!A1" display="CCM 05"/>
    <hyperlink ref="J8" location="'Trabajos Realizados PMV 02'!A1" display="PMV 02"/>
    <hyperlink ref="K8" location="'Trabajos Realizados PMV 04'!A1" display="PMV 04"/>
    <hyperlink ref="L27" location="'Trabajos Realizados PMV 04'!A1" display="'Trabajos Realizados PMV 04'!A1"/>
  </hyperlink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scale="8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0"/>
  <sheetViews>
    <sheetView topLeftCell="A25" zoomScale="90" zoomScaleNormal="90" workbookViewId="0">
      <selection activeCell="B5" sqref="B5:G32"/>
    </sheetView>
  </sheetViews>
  <sheetFormatPr baseColWidth="10" defaultRowHeight="15"/>
  <cols>
    <col width="11.42578125" customWidth="1" min="1" max="1"/>
    <col width="8.85546875" bestFit="1" customWidth="1" min="2" max="2"/>
    <col width="12.42578125" customWidth="1" min="3" max="3"/>
    <col width="66.140625" bestFit="1" customWidth="1" min="4" max="4"/>
    <col width="12.28515625" bestFit="1" customWidth="1" min="7" max="7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</row>
    <row r="2" ht="15.75" customHeight="1" thickBot="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</row>
    <row r="3" ht="48.75" customHeight="1" thickBot="1" thickTop="1">
      <c r="A3" s="32" t="n"/>
      <c r="B3" s="34" t="inlineStr">
        <is>
          <t>Falla No</t>
        </is>
      </c>
      <c r="C3" s="34" t="inlineStr">
        <is>
          <t>MAQUINA</t>
        </is>
      </c>
      <c r="D3" s="35" t="inlineStr">
        <is>
          <t>DESCRIPCIÓN PARADA</t>
        </is>
      </c>
      <c r="E3" s="35" t="inlineStr">
        <is>
          <t>TIEMPO PERDIDO (MIN)</t>
        </is>
      </c>
      <c r="F3" s="34" t="inlineStr">
        <is>
          <t>N° Eventos</t>
        </is>
      </c>
      <c r="G3" s="162" t="inlineStr">
        <is>
          <t>TIEPOS PERDIDO MAQUINA</t>
        </is>
      </c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</row>
    <row r="4" ht="15.75" customHeight="1" thickTop="1">
      <c r="A4" s="32" t="n"/>
      <c r="B4" s="91" t="n">
        <v>1</v>
      </c>
      <c r="C4" s="92" t="inlineStr">
        <is>
          <t>CCM1</t>
        </is>
      </c>
      <c r="D4" s="93" t="inlineStr">
        <is>
          <t>Falla FSM de Sincronismo</t>
        </is>
      </c>
      <c r="E4" s="94" t="n">
        <v>310</v>
      </c>
      <c r="F4" s="95" t="n">
        <v>1</v>
      </c>
      <c r="G4" s="163">
        <f>SUM(E4:E10)</f>
        <v/>
      </c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</row>
    <row r="5" ht="15.75" customHeight="1">
      <c r="A5" s="32" t="n"/>
      <c r="B5" s="91" t="n">
        <v>2</v>
      </c>
      <c r="C5" s="92" t="inlineStr">
        <is>
          <t>CCM1</t>
        </is>
      </c>
      <c r="D5" s="93" t="inlineStr">
        <is>
          <t>Falta de dosis, revision carrusel de insercion</t>
        </is>
      </c>
      <c r="E5" s="94" t="n">
        <v>300</v>
      </c>
      <c r="F5" s="95" t="n">
        <v>1</v>
      </c>
      <c r="G5" s="180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</row>
    <row r="6" ht="15.75" customHeight="1">
      <c r="A6" s="32" t="n"/>
      <c r="B6" s="91" t="n">
        <v>3</v>
      </c>
      <c r="C6" s="92" t="inlineStr">
        <is>
          <t>CCM1</t>
        </is>
      </c>
      <c r="D6" s="93" t="inlineStr">
        <is>
          <t>Revision fuga material tornillo estrusor</t>
        </is>
      </c>
      <c r="E6" s="94" t="n">
        <v>240</v>
      </c>
      <c r="F6" s="95" t="n">
        <v>1</v>
      </c>
      <c r="G6" s="180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</row>
    <row r="7" ht="15.75" customHeight="1">
      <c r="A7" s="32" t="n"/>
      <c r="B7" s="91" t="n">
        <v>4</v>
      </c>
      <c r="C7" s="92" t="inlineStr">
        <is>
          <t>CCM1</t>
        </is>
      </c>
      <c r="D7" s="93" t="inlineStr">
        <is>
          <t>Revision motor centralita.</t>
        </is>
      </c>
      <c r="E7" s="94" t="n">
        <v>225</v>
      </c>
      <c r="F7" s="95" t="n">
        <v>1</v>
      </c>
      <c r="G7" s="180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</row>
    <row r="8" ht="15.75" customHeight="1">
      <c r="A8" s="32" t="n"/>
      <c r="B8" s="91" t="n">
        <v>5</v>
      </c>
      <c r="C8" s="92" t="inlineStr">
        <is>
          <t>CCM1</t>
        </is>
      </c>
      <c r="D8" s="93" t="inlineStr">
        <is>
          <t>Revision pantalla CVS - No prende</t>
        </is>
      </c>
      <c r="E8" s="94" t="n">
        <v>120</v>
      </c>
      <c r="F8" s="95" t="n">
        <v>1</v>
      </c>
      <c r="G8" s="180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</row>
    <row r="9" ht="15.75" customHeight="1">
      <c r="A9" s="32" t="n"/>
      <c r="B9" s="91" t="n">
        <v>6</v>
      </c>
      <c r="C9" s="92" t="inlineStr">
        <is>
          <t>CCM1</t>
        </is>
      </c>
      <c r="D9" s="93" t="inlineStr">
        <is>
          <t>Revision calbibracion de cuchillas</t>
        </is>
      </c>
      <c r="E9" s="94" t="n">
        <v>25</v>
      </c>
      <c r="F9" s="95" t="n">
        <v>1</v>
      </c>
      <c r="G9" s="180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</row>
    <row r="10" ht="15.75" customHeight="1">
      <c r="A10" s="32" t="n"/>
      <c r="B10" s="91" t="n">
        <v>7</v>
      </c>
      <c r="C10" s="92" t="inlineStr">
        <is>
          <t>CCM1</t>
        </is>
      </c>
      <c r="D10" s="93" t="inlineStr">
        <is>
          <t>Revisar alarma SP19</t>
        </is>
      </c>
      <c r="E10" s="94" t="n">
        <v>20</v>
      </c>
      <c r="F10" s="95" t="n">
        <v>1</v>
      </c>
      <c r="G10" s="181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</row>
    <row r="11" ht="15.75" customHeight="1">
      <c r="A11" s="32" t="n"/>
      <c r="B11" s="91" t="n">
        <v>1</v>
      </c>
      <c r="C11" s="92" t="inlineStr">
        <is>
          <t>CCM2</t>
        </is>
      </c>
      <c r="D11" s="93" t="inlineStr">
        <is>
          <t>Parada por alarma BQ8 en la FSM</t>
        </is>
      </c>
      <c r="E11" s="94" t="n">
        <v>1107</v>
      </c>
      <c r="F11" s="95" t="n">
        <v>2</v>
      </c>
      <c r="G11" s="163">
        <f>SUM(E11:E20)</f>
        <v/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</row>
    <row r="12" ht="15.75" customHeight="1">
      <c r="A12" s="32" t="n"/>
      <c r="B12" s="91" t="n">
        <v>2</v>
      </c>
      <c r="C12" s="92" t="inlineStr">
        <is>
          <t>CCM2</t>
        </is>
      </c>
      <c r="D12" s="93" t="inlineStr">
        <is>
          <t>Falla por sincronizacion en la fsm</t>
        </is>
      </c>
      <c r="E12" s="94" t="n">
        <v>645</v>
      </c>
      <c r="F12" s="95" t="n">
        <v>1</v>
      </c>
      <c r="G12" s="180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</row>
    <row r="13" ht="15.75" customHeight="1">
      <c r="A13" s="32" t="n"/>
      <c r="B13" s="91" t="n">
        <v>3</v>
      </c>
      <c r="C13" s="92" t="inlineStr">
        <is>
          <t>CCM2</t>
        </is>
      </c>
      <c r="D13" s="93" t="inlineStr">
        <is>
          <t>revision cavida 15 por fuga aceite, revision carrusel de insercion |por tapa doblada</t>
        </is>
      </c>
      <c r="E13" s="94" t="n">
        <v>470</v>
      </c>
      <c r="F13" s="95" t="n">
        <v>1</v>
      </c>
      <c r="G13" s="180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</row>
    <row r="14" ht="15.75" customHeight="1">
      <c r="A14" s="32" t="n"/>
      <c r="B14" s="91" t="n">
        <v>4</v>
      </c>
      <c r="C14" s="92" t="inlineStr">
        <is>
          <t>CCM2</t>
        </is>
      </c>
      <c r="D14" s="93" t="inlineStr">
        <is>
          <t>Revivion de carrusel de insercion alarma SQ18</t>
        </is>
      </c>
      <c r="E14" s="94" t="n">
        <v>415</v>
      </c>
      <c r="F14" s="95" t="n">
        <v>1</v>
      </c>
      <c r="G14" s="180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</row>
    <row r="15" ht="15.75" customHeight="1">
      <c r="A15" s="32" t="n"/>
      <c r="B15" s="91" t="n">
        <v>5</v>
      </c>
      <c r="C15" s="92" t="inlineStr">
        <is>
          <t>CCM2</t>
        </is>
      </c>
      <c r="D15" s="93" t="inlineStr">
        <is>
          <t>tapa golpeada, error sincronizacion</t>
        </is>
      </c>
      <c r="E15" s="94" t="n">
        <v>395</v>
      </c>
      <c r="F15" s="95" t="n">
        <v>1</v>
      </c>
      <c r="G15" s="180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</row>
    <row r="16" ht="15.75" customHeight="1">
      <c r="A16" s="32" t="n"/>
      <c r="B16" s="91" t="n">
        <v>6</v>
      </c>
      <c r="C16" s="92" t="inlineStr">
        <is>
          <t>CCM2</t>
        </is>
      </c>
      <c r="D16" s="93" t="inlineStr">
        <is>
          <t>Entortamiento carrusel de insercion.</t>
        </is>
      </c>
      <c r="E16" s="94" t="n">
        <v>330</v>
      </c>
      <c r="F16" s="95" t="n">
        <v>1</v>
      </c>
      <c r="G16" s="180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</row>
    <row r="17" ht="15.75" customHeight="1">
      <c r="A17" s="32" t="n"/>
      <c r="B17" s="91" t="n">
        <v>7</v>
      </c>
      <c r="C17" s="92" t="inlineStr">
        <is>
          <t>CCM2</t>
        </is>
      </c>
      <c r="D17" s="93" t="inlineStr">
        <is>
          <t>Revisicion cavidad #15 por falla en la inspeccion del palley</t>
        </is>
      </c>
      <c r="E17" s="94" t="n">
        <v>240</v>
      </c>
      <c r="F17" s="95" t="n">
        <v>1</v>
      </c>
      <c r="G17" s="180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</row>
    <row r="18" ht="15.75" customHeight="1">
      <c r="A18" s="32" t="n"/>
      <c r="B18" s="91" t="n">
        <v>8</v>
      </c>
      <c r="C18" s="92" t="inlineStr">
        <is>
          <t>CCM2</t>
        </is>
      </c>
      <c r="D18" s="93" t="inlineStr">
        <is>
          <t>Revision zonas boquilla y cuerpo casquilo se suben de temperatura por encima del set poin.</t>
        </is>
      </c>
      <c r="E18" s="94" t="n">
        <v>160</v>
      </c>
      <c r="F18" s="95" t="n">
        <v>1</v>
      </c>
      <c r="G18" s="180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</row>
    <row r="19" ht="15.75" customHeight="1">
      <c r="A19" s="32" t="n"/>
      <c r="B19" s="91" t="n">
        <v>9</v>
      </c>
      <c r="C19" s="92" t="inlineStr">
        <is>
          <t>CCM2</t>
        </is>
      </c>
      <c r="D19" s="93" t="inlineStr">
        <is>
          <t>punzon # 4 por concavidad fuera de norma</t>
        </is>
      </c>
      <c r="E19" s="94" t="n">
        <v>70</v>
      </c>
      <c r="F19" s="95" t="n">
        <v>1</v>
      </c>
      <c r="G19" s="180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</row>
    <row r="20" ht="15.75" customHeight="1">
      <c r="A20" s="32" t="n"/>
      <c r="B20" s="91" t="n">
        <v>10</v>
      </c>
      <c r="C20" s="92" t="inlineStr">
        <is>
          <t>CCM2</t>
        </is>
      </c>
      <c r="D20" s="93" t="inlineStr">
        <is>
          <t>Revision y cambio punzones posicion # 12 y # 16 presenta rechupe</t>
        </is>
      </c>
      <c r="E20" s="94" t="n">
        <v>70</v>
      </c>
      <c r="F20" s="95" t="n">
        <v>1</v>
      </c>
      <c r="G20" s="181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</row>
    <row r="21" ht="15.75" customHeight="1">
      <c r="A21" s="32" t="n"/>
      <c r="B21" s="91" t="n">
        <v>1</v>
      </c>
      <c r="C21" s="92" t="inlineStr">
        <is>
          <t>CCM3</t>
        </is>
      </c>
      <c r="D21" s="93" t="inlineStr">
        <is>
          <t>alarma BQ8 encoder</t>
        </is>
      </c>
      <c r="E21" s="94" t="n">
        <v>480</v>
      </c>
      <c r="F21" s="95" t="n">
        <v>1</v>
      </c>
      <c r="G21" s="163">
        <f>SUM(E21:E30)</f>
        <v/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</row>
    <row r="22" ht="15.75" customHeight="1">
      <c r="A22" s="32" t="n"/>
      <c r="B22" s="91" t="n">
        <v>2</v>
      </c>
      <c r="C22" s="92" t="inlineStr">
        <is>
          <t>CCM3</t>
        </is>
      </c>
      <c r="D22" s="93" t="inlineStr">
        <is>
          <t>Cambiar encoder carrusel en la FSM 3 Por que se paso para habilitar la FMS 5 CCM5</t>
        </is>
      </c>
      <c r="E22" s="94" t="n">
        <v>450</v>
      </c>
      <c r="F22" s="95" t="n">
        <v>1</v>
      </c>
      <c r="G22" s="180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</row>
    <row r="23" ht="15.75" customHeight="1">
      <c r="A23" s="32" t="n"/>
      <c r="B23" s="91" t="n">
        <v>3</v>
      </c>
      <c r="C23" s="92" t="inlineStr">
        <is>
          <t>CCM3</t>
        </is>
      </c>
      <c r="D23" s="93" t="inlineStr">
        <is>
          <t>Bajar Encoder  Carrusel de Corte en la FSM 3</t>
        </is>
      </c>
      <c r="E23" s="94" t="n">
        <v>240</v>
      </c>
      <c r="F23" s="95" t="n">
        <v>1</v>
      </c>
      <c r="G23" s="180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</row>
    <row r="24" ht="15.75" customHeight="1">
      <c r="A24" s="32" t="n"/>
      <c r="B24" s="91" t="n">
        <v>4</v>
      </c>
      <c r="C24" s="92" t="inlineStr">
        <is>
          <t>CCM3</t>
        </is>
      </c>
      <c r="D24" s="93" t="inlineStr">
        <is>
          <t>Temperatura alta en la zona de la bomba y fuga de agua cavidad 14.</t>
        </is>
      </c>
      <c r="E24" s="94" t="n">
        <v>210</v>
      </c>
      <c r="F24" s="95" t="n">
        <v>1</v>
      </c>
      <c r="G24" s="180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</row>
    <row r="25" ht="15.75" customHeight="1">
      <c r="A25" s="32" t="n"/>
      <c r="B25" s="91" t="n">
        <v>5</v>
      </c>
      <c r="C25" s="92" t="inlineStr">
        <is>
          <t>CCM3</t>
        </is>
      </c>
      <c r="D25" s="93" t="inlineStr">
        <is>
          <t>Alarma SP20</t>
        </is>
      </c>
      <c r="E25" s="94" t="n">
        <v>200</v>
      </c>
      <c r="F25" s="95" t="n">
        <v>1</v>
      </c>
      <c r="G25" s="180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</row>
    <row r="26" ht="15.75" customHeight="1">
      <c r="A26" s="32" t="n"/>
      <c r="B26" s="91" t="n">
        <v>6</v>
      </c>
      <c r="C26" s="92" t="inlineStr">
        <is>
          <t>CCM3</t>
        </is>
      </c>
      <c r="D26" s="93" t="inlineStr">
        <is>
          <t>BLOQUEO POR ALARMA CONTROLADOR SP20</t>
        </is>
      </c>
      <c r="E26" s="94" t="n">
        <v>200</v>
      </c>
      <c r="F26" s="95" t="n">
        <v>1</v>
      </c>
      <c r="G26" s="180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</row>
    <row r="27" ht="15.75" customHeight="1">
      <c r="A27" s="32" t="n"/>
      <c r="B27" s="91" t="n">
        <v>7</v>
      </c>
      <c r="C27" s="92" t="inlineStr">
        <is>
          <t>CCM3</t>
        </is>
      </c>
      <c r="D27" s="93" t="inlineStr">
        <is>
          <t>Temperatura alta en la zona de la bomba y fuga de ahua cavidad 14.</t>
        </is>
      </c>
      <c r="E27" s="94" t="n">
        <v>170</v>
      </c>
      <c r="F27" s="95" t="n">
        <v>1</v>
      </c>
      <c r="G27" s="180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</row>
    <row r="28" ht="15.75" customHeight="1">
      <c r="A28" s="32" t="n"/>
      <c r="B28" s="91" t="n">
        <v>8</v>
      </c>
      <c r="C28" s="92" t="inlineStr">
        <is>
          <t>CCM3</t>
        </is>
      </c>
      <c r="D28" s="93" t="inlineStr">
        <is>
          <t>Falta de grasa en la  FSM</t>
        </is>
      </c>
      <c r="E28" s="94" t="n">
        <v>60</v>
      </c>
      <c r="F28" s="95" t="n">
        <v>1</v>
      </c>
      <c r="G28" s="180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</row>
    <row r="29" ht="15.75" customHeight="1">
      <c r="A29" s="32" t="n"/>
      <c r="B29" s="91" t="n">
        <v>9</v>
      </c>
      <c r="C29" s="92" t="inlineStr">
        <is>
          <t>CCM3</t>
        </is>
      </c>
      <c r="D29" s="93" t="inlineStr">
        <is>
          <t>fuga de agua cavidad #16</t>
        </is>
      </c>
      <c r="E29" s="94" t="n">
        <v>60</v>
      </c>
      <c r="F29" s="95" t="n">
        <v>1</v>
      </c>
      <c r="G29" s="180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</row>
    <row r="30" ht="15.75" customHeight="1">
      <c r="A30" s="32" t="n"/>
      <c r="B30" s="91" t="n">
        <v>10</v>
      </c>
      <c r="C30" s="92" t="inlineStr">
        <is>
          <t>CCM3</t>
        </is>
      </c>
      <c r="D30" s="93" t="inlineStr">
        <is>
          <t>Parada por alarma SP18</t>
        </is>
      </c>
      <c r="E30" s="94" t="n">
        <v>40</v>
      </c>
      <c r="F30" s="95" t="n">
        <v>1</v>
      </c>
      <c r="G30" s="181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</row>
    <row r="31" ht="15.75" customHeight="1">
      <c r="A31" s="32" t="n"/>
      <c r="B31" s="91" t="n">
        <v>1</v>
      </c>
      <c r="C31" s="92" t="inlineStr">
        <is>
          <t>CCM4</t>
        </is>
      </c>
      <c r="D31" s="93" t="inlineStr">
        <is>
          <t>falla por alarma 3024 controla sp5v</t>
        </is>
      </c>
      <c r="E31" s="94" t="n">
        <v>200</v>
      </c>
      <c r="F31" s="95" t="n">
        <v>1</v>
      </c>
      <c r="G31" s="163">
        <f>SUM(E31:E36)</f>
        <v/>
      </c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</row>
    <row r="32" ht="15.75" customHeight="1">
      <c r="A32" s="32" t="n"/>
      <c r="B32" s="91" t="n">
        <v>2</v>
      </c>
      <c r="C32" s="92" t="inlineStr">
        <is>
          <t>CCM4</t>
        </is>
      </c>
      <c r="D32" s="93" t="inlineStr">
        <is>
          <t>Revision Cavidad y Punzon No 60 Por Golpe</t>
        </is>
      </c>
      <c r="E32" s="94" t="n">
        <v>120</v>
      </c>
      <c r="F32" s="95" t="n">
        <v>1</v>
      </c>
      <c r="G32" s="180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</row>
    <row r="33" hidden="1" ht="15.75" customHeight="1" thickTop="1">
      <c r="A33" s="32" t="n"/>
      <c r="B33" s="91" t="n">
        <v>3</v>
      </c>
      <c r="C33" s="92" t="inlineStr">
        <is>
          <t>CCM4</t>
        </is>
      </c>
      <c r="D33" s="93" t="inlineStr">
        <is>
          <t>Revisionpunzon # 46 posicion # 5 por concavidad alta</t>
        </is>
      </c>
      <c r="E33" s="94" t="n">
        <v>70</v>
      </c>
      <c r="F33" s="95" t="n">
        <v>1</v>
      </c>
      <c r="G33" s="180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</row>
    <row r="34" hidden="1" ht="15.75" customHeight="1" thickBot="1">
      <c r="A34" s="32" t="n"/>
      <c r="B34" s="91" t="n">
        <v>4</v>
      </c>
      <c r="C34" s="92" t="inlineStr">
        <is>
          <t>CCM4</t>
        </is>
      </c>
      <c r="D34" s="93" t="inlineStr">
        <is>
          <t>Parada Por Leve Golpe Punzon No 5</t>
        </is>
      </c>
      <c r="E34" s="94" t="n">
        <v>50</v>
      </c>
      <c r="F34" s="95" t="n">
        <v>1</v>
      </c>
      <c r="G34" s="180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</row>
    <row r="35" hidden="1" ht="15.75" customHeight="1" thickTop="1">
      <c r="A35" s="32" t="n"/>
      <c r="B35" s="91" t="n">
        <v>5</v>
      </c>
      <c r="C35" s="92" t="inlineStr">
        <is>
          <t>CCM4</t>
        </is>
      </c>
      <c r="D35" s="93" t="inlineStr">
        <is>
          <t>Revision punzones #43 - #41 por rebaba posicion #5 - #41</t>
        </is>
      </c>
      <c r="E35" s="94" t="n">
        <v>30</v>
      </c>
      <c r="F35" s="95" t="n">
        <v>1</v>
      </c>
      <c r="G35" s="180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</row>
    <row r="36" hidden="1" ht="15.75" customHeight="1">
      <c r="A36" s="32" t="n"/>
      <c r="B36" s="91" t="n">
        <v>6</v>
      </c>
      <c r="C36" s="92" t="inlineStr">
        <is>
          <t>CCM4</t>
        </is>
      </c>
      <c r="D36" s="93" t="inlineStr">
        <is>
          <t>Punzon 46 posicion 5 concavidad alta.</t>
        </is>
      </c>
      <c r="E36" s="94" t="n">
        <v>10</v>
      </c>
      <c r="F36" s="95" t="n">
        <v>1</v>
      </c>
      <c r="G36" s="181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</row>
    <row r="37" hidden="1" ht="15.75" customHeight="1">
      <c r="A37" s="32" t="n"/>
      <c r="B37" s="91" t="n">
        <v>1</v>
      </c>
      <c r="C37" s="92" t="inlineStr">
        <is>
          <t>CCM5</t>
        </is>
      </c>
      <c r="D37" s="93" t="inlineStr">
        <is>
          <t>FALLA SINCRONISMO CARRUSELES</t>
        </is>
      </c>
      <c r="E37" s="94" t="n">
        <v>780</v>
      </c>
      <c r="F37" s="95" t="n">
        <v>1</v>
      </c>
      <c r="G37" s="163">
        <f>SUM(E37:E42)</f>
        <v/>
      </c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</row>
    <row r="38" hidden="1" ht="15.75" customHeight="1">
      <c r="A38" s="32" t="n"/>
      <c r="B38" s="91" t="n">
        <v>2</v>
      </c>
      <c r="C38" s="92" t="inlineStr">
        <is>
          <t>CCM5</t>
        </is>
      </c>
      <c r="D38" s="93" t="inlineStr">
        <is>
          <t>punzones golpeados</t>
        </is>
      </c>
      <c r="E38" s="94" t="n">
        <v>300</v>
      </c>
      <c r="F38" s="95" t="n">
        <v>1</v>
      </c>
      <c r="G38" s="180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</row>
    <row r="39" hidden="1" ht="15.75" customHeight="1" thickBot="1">
      <c r="A39" s="32" t="n"/>
      <c r="B39" s="91" t="n">
        <v>3</v>
      </c>
      <c r="C39" s="92" t="inlineStr">
        <is>
          <t>CCM5</t>
        </is>
      </c>
      <c r="D39" s="93" t="inlineStr">
        <is>
          <t>revision punzon # 15 y 48 por golpe</t>
        </is>
      </c>
      <c r="E39" s="94" t="n">
        <v>195</v>
      </c>
      <c r="F39" s="95" t="n">
        <v>1</v>
      </c>
      <c r="G39" s="180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</row>
    <row r="40" ht="15.75" customHeight="1" thickBot="1">
      <c r="A40" s="32" t="n"/>
      <c r="B40" s="91" t="n">
        <v>4</v>
      </c>
      <c r="C40" s="92" t="inlineStr">
        <is>
          <t>CCM5</t>
        </is>
      </c>
      <c r="D40" s="93" t="inlineStr">
        <is>
          <t>Revision punzon y cavidad # 2 por golpe</t>
        </is>
      </c>
      <c r="E40" s="94" t="n">
        <v>170</v>
      </c>
      <c r="F40" s="95" t="n">
        <v>1</v>
      </c>
      <c r="G40" s="180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</row>
    <row r="41" ht="15.75" customHeight="1" thickBot="1" thickTop="1">
      <c r="B41" s="91" t="n">
        <v>5</v>
      </c>
      <c r="C41" s="92" t="inlineStr">
        <is>
          <t>CCM5</t>
        </is>
      </c>
      <c r="D41" s="93" t="inlineStr">
        <is>
          <t>PERDIDA DE SINCRONISMO FSM</t>
        </is>
      </c>
      <c r="E41" s="94" t="n">
        <v>90</v>
      </c>
      <c r="F41" s="95" t="n">
        <v>1</v>
      </c>
      <c r="G41" s="180" t="n"/>
    </row>
    <row r="42" ht="15.75" customHeight="1" thickTop="1">
      <c r="B42" s="91" t="n">
        <v>6</v>
      </c>
      <c r="C42" s="92" t="inlineStr">
        <is>
          <t>CCM5</t>
        </is>
      </c>
      <c r="D42" s="93" t="inlineStr">
        <is>
          <t>Sin descripción de parada</t>
        </is>
      </c>
      <c r="E42" s="94" t="n">
        <v>30</v>
      </c>
      <c r="F42" s="95" t="n">
        <v>1</v>
      </c>
      <c r="G42" s="181" t="n"/>
    </row>
    <row r="43" ht="15.75" customHeight="1">
      <c r="B43" s="91" t="n">
        <v>1</v>
      </c>
      <c r="C43" s="92" t="inlineStr">
        <is>
          <t>CCM6</t>
        </is>
      </c>
      <c r="D43" s="93" t="inlineStr">
        <is>
          <t>falla termoregulador temperatura alta</t>
        </is>
      </c>
      <c r="E43" s="94" t="n">
        <v>540</v>
      </c>
      <c r="F43" s="95" t="n">
        <v>1</v>
      </c>
      <c r="G43" s="163">
        <f>SUM(E43:E46)</f>
        <v/>
      </c>
    </row>
    <row r="44" ht="15.75" customHeight="1">
      <c r="B44" s="91" t="n">
        <v>2</v>
      </c>
      <c r="C44" s="92" t="inlineStr">
        <is>
          <t>CCM6</t>
        </is>
      </c>
      <c r="D44" s="93" t="inlineStr">
        <is>
          <t>tapa con anillo doblado recalentamiento en punzon</t>
        </is>
      </c>
      <c r="E44" s="94" t="n">
        <v>480</v>
      </c>
      <c r="F44" s="95" t="n">
        <v>1</v>
      </c>
      <c r="G44" s="180" t="n"/>
    </row>
    <row r="45" ht="15.75" customHeight="1">
      <c r="B45" s="91" t="n">
        <v>3</v>
      </c>
      <c r="C45" s="92" t="inlineStr">
        <is>
          <t>CCM6</t>
        </is>
      </c>
      <c r="D45" s="93" t="inlineStr">
        <is>
          <t>bloque de presion en tapa deformada refrigeracion en punzones defisiente</t>
        </is>
      </c>
      <c r="E45" s="94" t="n">
        <v>200</v>
      </c>
      <c r="F45" s="95" t="n">
        <v>1</v>
      </c>
      <c r="G45" s="180" t="n"/>
    </row>
    <row r="46" ht="15.75" customHeight="1">
      <c r="B46" s="91" t="n">
        <v>4</v>
      </c>
      <c r="C46" s="92" t="inlineStr">
        <is>
          <t>CCM6</t>
        </is>
      </c>
      <c r="D46" s="93" t="inlineStr">
        <is>
          <t>DAÑO ACOPLE MANGUERA TERMOREGULADOR</t>
        </is>
      </c>
      <c r="E46" s="94" t="n">
        <v>180</v>
      </c>
      <c r="F46" s="95" t="n">
        <v>1</v>
      </c>
      <c r="G46" s="181" t="n"/>
    </row>
    <row r="47" ht="15.75" customHeight="1">
      <c r="B47" s="91" t="n">
        <v>1</v>
      </c>
      <c r="C47" s="92" t="inlineStr">
        <is>
          <t>CCM7</t>
        </is>
      </c>
      <c r="D47" s="93" t="inlineStr">
        <is>
          <t>Revision daño de racor punzon #39 (fuga de agua)</t>
        </is>
      </c>
      <c r="E47" s="94" t="n">
        <v>480</v>
      </c>
      <c r="F47" s="95" t="n">
        <v>1</v>
      </c>
      <c r="G47" s="163">
        <f>SUM(E47:E48)</f>
        <v/>
      </c>
    </row>
    <row r="48" ht="15.75" customHeight="1">
      <c r="B48" s="91" t="n">
        <v>2</v>
      </c>
      <c r="C48" s="92" t="inlineStr">
        <is>
          <t>CCM7</t>
        </is>
      </c>
      <c r="D48" s="93" t="inlineStr">
        <is>
          <t>fuga de agua</t>
        </is>
      </c>
      <c r="E48" s="94" t="n">
        <v>120</v>
      </c>
      <c r="F48" s="95" t="n">
        <v>1</v>
      </c>
      <c r="G48" s="181" t="n"/>
    </row>
    <row r="49" ht="15.75" customHeight="1">
      <c r="B49" s="91" t="n">
        <v>1</v>
      </c>
      <c r="C49" s="92" t="inlineStr">
        <is>
          <t>CCM8</t>
        </is>
      </c>
      <c r="D49" s="93" t="inlineStr">
        <is>
          <t>Alarma BQ8 en FSM y fallaBY-PASS</t>
        </is>
      </c>
      <c r="E49" s="94" t="n">
        <v>200</v>
      </c>
      <c r="F49" s="95" t="n">
        <v>1</v>
      </c>
      <c r="G49" s="163">
        <f>SUM(E49:E51)</f>
        <v/>
      </c>
    </row>
    <row r="50" ht="15.75" customHeight="1">
      <c r="B50" s="91" t="n">
        <v>2</v>
      </c>
      <c r="C50" s="92" t="inlineStr">
        <is>
          <t>CCM8</t>
        </is>
      </c>
      <c r="D50" s="93" t="inlineStr">
        <is>
          <t>Humedad en punzones 30 y 31</t>
        </is>
      </c>
      <c r="E50" s="94" t="n">
        <v>75</v>
      </c>
      <c r="F50" s="95" t="n">
        <v>1</v>
      </c>
      <c r="G50" s="180" t="n"/>
    </row>
    <row r="51" ht="15.75" customHeight="1">
      <c r="B51" s="91" t="n">
        <v>3</v>
      </c>
      <c r="C51" s="92" t="inlineStr">
        <is>
          <t>CCM8</t>
        </is>
      </c>
      <c r="D51" s="93" t="inlineStr">
        <is>
          <t>punzon # 30 y 31 con humedad</t>
        </is>
      </c>
      <c r="E51" s="94" t="n">
        <v>75</v>
      </c>
      <c r="F51" s="95" t="n">
        <v>1</v>
      </c>
      <c r="G51" s="181" t="n"/>
    </row>
    <row r="52">
      <c r="A52" s="32" t="n"/>
      <c r="B52" s="32" t="n"/>
      <c r="C52" s="32" t="n"/>
      <c r="D52" s="37" t="inlineStr">
        <is>
          <t>TOTAL TIEMPOS PERDIDOS AREA</t>
        </is>
      </c>
      <c r="E52" s="36">
        <f>SUM(E4:E51)</f>
        <v/>
      </c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</row>
    <row r="85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</row>
    <row r="86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</row>
    <row r="87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</row>
    <row r="89">
      <c r="A89" s="32" t="n"/>
      <c r="H89" s="32" t="n"/>
      <c r="I89" s="32" t="n"/>
      <c r="J89" s="32" t="n"/>
      <c r="K89" s="32" t="n"/>
    </row>
    <row r="90">
      <c r="A90" s="32" t="n"/>
      <c r="I90" s="32" t="n"/>
      <c r="J90" s="32" t="n"/>
      <c r="K90" s="32" t="n"/>
    </row>
  </sheetData>
  <mergeCells count="8">
    <mergeCell ref="G31:G36"/>
    <mergeCell ref="G49:G51"/>
    <mergeCell ref="G43:G46"/>
    <mergeCell ref="G21:G30"/>
    <mergeCell ref="G4:G10"/>
    <mergeCell ref="G47:G48"/>
    <mergeCell ref="G11:G20"/>
    <mergeCell ref="G37:G42"/>
  </mergeCells>
  <conditionalFormatting sqref="D33:D39">
    <cfRule type="expression" priority="320" dxfId="0" stopIfTrue="1">
      <formula>IF(A1048572=$D$1758,D33)</formula>
    </cfRule>
  </conditionalFormatting>
  <conditionalFormatting sqref="D4:D32">
    <cfRule type="expression" priority="321" dxfId="0" stopIfTrue="1">
      <formula>IF(A4=$F$1610,D4)</formula>
    </cfRule>
  </conditionalFormatting>
  <conditionalFormatting sqref="E4:E32">
    <cfRule type="expression" priority="323" dxfId="0" stopIfTrue="1">
      <formula>IF(XFD4=$F$1610,E4)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6"/>
  <sheetViews>
    <sheetView tabSelected="1" zoomScale="90" zoomScaleNormal="90" workbookViewId="0">
      <selection activeCell="F9" sqref="F9"/>
    </sheetView>
  </sheetViews>
  <sheetFormatPr baseColWidth="10" defaultRowHeight="15"/>
  <cols>
    <col width="6" customWidth="1" min="2" max="2"/>
    <col width="9" customWidth="1" min="3" max="3"/>
    <col width="8.85546875" bestFit="1" customWidth="1" min="4" max="4"/>
    <col width="11" bestFit="1" customWidth="1" min="5" max="5"/>
    <col width="66.5703125" customWidth="1" min="6" max="6"/>
    <col width="8.7109375" bestFit="1" customWidth="1" min="8" max="8"/>
    <col width="7" customWidth="1" min="9" max="9"/>
    <col width="13.140625" bestFit="1" customWidth="1" min="10" max="10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</row>
    <row r="2" ht="15.75" customHeight="1" thickBot="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</row>
    <row r="3" ht="48.75" customHeight="1" thickBot="1" thickTop="1">
      <c r="A3" s="32" t="n"/>
      <c r="B3" s="32" t="n"/>
      <c r="C3" s="32" t="n"/>
      <c r="D3" s="34" t="inlineStr">
        <is>
          <t>Falla No</t>
        </is>
      </c>
      <c r="E3" s="34" t="inlineStr">
        <is>
          <t>MAQUINA</t>
        </is>
      </c>
      <c r="F3" s="35" t="inlineStr">
        <is>
          <t>DESCRIPCIÓN PARADA</t>
        </is>
      </c>
      <c r="G3" s="35" t="inlineStr">
        <is>
          <t>TIEMPO PERDIDO (MIN)</t>
        </is>
      </c>
      <c r="H3" s="34" t="inlineStr">
        <is>
          <t>N° Eventos</t>
        </is>
      </c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</row>
    <row r="4" ht="15.75" customHeight="1" thickTop="1">
      <c r="A4" s="32" t="n"/>
      <c r="B4" s="32" t="n"/>
      <c r="C4" s="32" t="n"/>
      <c r="D4" s="182" t="n">
        <v>1</v>
      </c>
      <c r="E4" s="166" t="inlineStr">
        <is>
          <t>CCM2</t>
        </is>
      </c>
      <c r="F4" s="167" t="inlineStr">
        <is>
          <t>Parada por alarma BQ8 en la FSM</t>
        </is>
      </c>
      <c r="G4" s="168" t="n">
        <v>1107</v>
      </c>
      <c r="H4" s="169" t="n">
        <v>2</v>
      </c>
      <c r="I4" s="32" t="n"/>
      <c r="J4" s="118" t="inlineStr">
        <is>
          <t>PARETO 80/20</t>
        </is>
      </c>
      <c r="K4" s="183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</row>
    <row r="5" ht="15.75" customHeight="1">
      <c r="A5" s="32" t="n"/>
      <c r="B5" s="32" t="n"/>
      <c r="C5" s="32" t="n"/>
      <c r="D5" s="182" t="n">
        <v>2</v>
      </c>
      <c r="E5" s="166" t="inlineStr">
        <is>
          <t>CCM5</t>
        </is>
      </c>
      <c r="F5" s="167" t="inlineStr">
        <is>
          <t>FALLA SINCRONISMO CARRUSELES</t>
        </is>
      </c>
      <c r="G5" s="168" t="n">
        <v>780</v>
      </c>
      <c r="H5" s="169" t="n">
        <v>1</v>
      </c>
      <c r="I5" s="32" t="n"/>
      <c r="J5" s="38" t="inlineStr">
        <is>
          <t>EVENTOS 20%</t>
        </is>
      </c>
      <c r="K5" s="43">
        <f>COUNTA(D4:D51)*20%</f>
        <v/>
      </c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</row>
    <row r="6" ht="15.75" customHeight="1" thickBot="1">
      <c r="A6" s="32" t="n"/>
      <c r="B6" s="32" t="n"/>
      <c r="C6" s="32" t="n"/>
      <c r="D6" s="182" t="n">
        <v>3</v>
      </c>
      <c r="E6" s="166" t="inlineStr">
        <is>
          <t>CCM2</t>
        </is>
      </c>
      <c r="F6" s="167" t="inlineStr">
        <is>
          <t>Falla por sincronizacion en la fsm</t>
        </is>
      </c>
      <c r="G6" s="168" t="n">
        <v>645</v>
      </c>
      <c r="H6" s="169" t="n">
        <v>1</v>
      </c>
      <c r="I6" s="32" t="n"/>
      <c r="J6" s="39" t="inlineStr">
        <is>
          <t>TIEMPO 80 %</t>
        </is>
      </c>
      <c r="K6" s="41">
        <f>G52*80%</f>
        <v/>
      </c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</row>
    <row r="7" ht="15.75" customHeight="1" thickTop="1">
      <c r="A7" s="32" t="n"/>
      <c r="B7" s="32" t="n"/>
      <c r="C7" s="32" t="n"/>
      <c r="D7" s="182" t="n">
        <v>4</v>
      </c>
      <c r="E7" s="166" t="inlineStr">
        <is>
          <t>CCM6</t>
        </is>
      </c>
      <c r="F7" s="167" t="inlineStr">
        <is>
          <t>falla termoregulador temperatura alta</t>
        </is>
      </c>
      <c r="G7" s="168" t="n">
        <v>540</v>
      </c>
      <c r="H7" s="169" t="n">
        <v>1</v>
      </c>
      <c r="I7" s="32" t="n"/>
      <c r="J7" s="120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</row>
    <row r="8" ht="15.75" customHeight="1">
      <c r="A8" s="32" t="n"/>
      <c r="B8" s="32" t="n"/>
      <c r="C8" s="32" t="n"/>
      <c r="D8" s="182" t="n">
        <v>5</v>
      </c>
      <c r="E8" s="166" t="inlineStr">
        <is>
          <t>CCM3</t>
        </is>
      </c>
      <c r="F8" s="167" t="inlineStr">
        <is>
          <t>alarma BQ8 encoder</t>
        </is>
      </c>
      <c r="G8" s="168" t="n">
        <v>480</v>
      </c>
      <c r="H8" s="169" t="n">
        <v>1</v>
      </c>
      <c r="I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</row>
    <row r="9" ht="15.75" customHeight="1">
      <c r="A9" s="32" t="n"/>
      <c r="B9" s="32" t="n"/>
      <c r="C9" s="32" t="n"/>
      <c r="D9" s="182" t="n">
        <v>6</v>
      </c>
      <c r="E9" s="166" t="inlineStr">
        <is>
          <t>CCM6</t>
        </is>
      </c>
      <c r="F9" s="167" t="inlineStr">
        <is>
          <t>tapa con anillo doblado recalentamiento en punzon</t>
        </is>
      </c>
      <c r="G9" s="168" t="n">
        <v>480</v>
      </c>
      <c r="H9" s="169" t="n">
        <v>1</v>
      </c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</row>
    <row r="10" ht="15.75" customHeight="1">
      <c r="A10" s="32" t="n"/>
      <c r="B10" s="32" t="n"/>
      <c r="C10" s="32" t="n"/>
      <c r="D10" s="182" t="n">
        <v>7</v>
      </c>
      <c r="E10" s="166" t="inlineStr">
        <is>
          <t>CCM7</t>
        </is>
      </c>
      <c r="F10" s="167" t="inlineStr">
        <is>
          <t>Revision daño de racor punzon #39 (fuga de agua)</t>
        </is>
      </c>
      <c r="G10" s="168" t="n">
        <v>480</v>
      </c>
      <c r="H10" s="169" t="n">
        <v>1</v>
      </c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</row>
    <row r="11" ht="15.75" customHeight="1">
      <c r="A11" s="32" t="n"/>
      <c r="B11" s="32" t="n"/>
      <c r="C11" s="32" t="n"/>
      <c r="D11" s="182" t="n">
        <v>8</v>
      </c>
      <c r="E11" s="166" t="inlineStr">
        <is>
          <t>CCM2</t>
        </is>
      </c>
      <c r="F11" s="167" t="inlineStr">
        <is>
          <t>revision cavida 15 por fuga aceite, revision carrusel de insercion |por tapa doblada</t>
        </is>
      </c>
      <c r="G11" s="168" t="n">
        <v>470</v>
      </c>
      <c r="H11" s="169" t="n">
        <v>1</v>
      </c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</row>
    <row r="12" ht="15.75" customHeight="1">
      <c r="A12" s="32" t="n"/>
      <c r="B12" s="32" t="n"/>
      <c r="C12" s="32" t="n"/>
      <c r="D12" s="182" t="n">
        <v>9</v>
      </c>
      <c r="E12" s="166" t="inlineStr">
        <is>
          <t>CCM3</t>
        </is>
      </c>
      <c r="F12" s="167" t="inlineStr">
        <is>
          <t>Cambiar encoder carrusel en la FSM 3 Por que se paso para habilitar la FMS 5 CCM5</t>
        </is>
      </c>
      <c r="G12" s="168" t="n">
        <v>450</v>
      </c>
      <c r="H12" s="169" t="n">
        <v>1</v>
      </c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</row>
    <row r="13" ht="15.75" customHeight="1">
      <c r="A13" s="32" t="n"/>
      <c r="B13" s="32" t="n"/>
      <c r="C13" s="32" t="n"/>
      <c r="D13" s="182" t="n">
        <v>10</v>
      </c>
      <c r="E13" s="166" t="inlineStr">
        <is>
          <t>CCM2</t>
        </is>
      </c>
      <c r="F13" s="167" t="inlineStr">
        <is>
          <t>Revivion de carrusel de insercion alarma SQ18</t>
        </is>
      </c>
      <c r="G13" s="168" t="n">
        <v>415</v>
      </c>
      <c r="H13" s="169" t="n">
        <v>1</v>
      </c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</row>
    <row r="14" ht="15.75" customHeight="1">
      <c r="A14" s="32" t="n"/>
      <c r="B14" s="32" t="n"/>
      <c r="C14" s="32" t="n"/>
      <c r="D14" s="182" t="n">
        <v>11</v>
      </c>
      <c r="E14" s="166" t="inlineStr">
        <is>
          <t>CCM2</t>
        </is>
      </c>
      <c r="F14" s="167" t="inlineStr">
        <is>
          <t>tapa golpeada, error sincronizacion</t>
        </is>
      </c>
      <c r="G14" s="168" t="n">
        <v>395</v>
      </c>
      <c r="H14" s="169" t="n">
        <v>1</v>
      </c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</row>
    <row r="15" ht="15.75" customHeight="1">
      <c r="A15" s="32" t="n"/>
      <c r="B15" s="32" t="n"/>
      <c r="C15" s="32" t="n"/>
      <c r="D15" s="182" t="n">
        <v>12</v>
      </c>
      <c r="E15" s="166" t="inlineStr">
        <is>
          <t>CCM2</t>
        </is>
      </c>
      <c r="F15" s="167" t="inlineStr">
        <is>
          <t>Entortamiento carrusel de insercion.</t>
        </is>
      </c>
      <c r="G15" s="168" t="n">
        <v>330</v>
      </c>
      <c r="H15" s="169" t="n">
        <v>1</v>
      </c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</row>
    <row r="16" ht="15.75" customHeight="1">
      <c r="A16" s="32" t="n"/>
      <c r="B16" s="32" t="n"/>
      <c r="C16" s="32" t="n"/>
      <c r="D16" s="182" t="n">
        <v>13</v>
      </c>
      <c r="E16" s="166" t="inlineStr">
        <is>
          <t>CCM1</t>
        </is>
      </c>
      <c r="F16" s="167" t="inlineStr">
        <is>
          <t>Falla FSM de Sincronismo</t>
        </is>
      </c>
      <c r="G16" s="168" t="n">
        <v>310</v>
      </c>
      <c r="H16" s="169" t="n">
        <v>1</v>
      </c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</row>
    <row r="17" ht="15.75" customHeight="1">
      <c r="A17" s="32" t="n"/>
      <c r="B17" s="32" t="n"/>
      <c r="C17" s="32" t="n"/>
      <c r="D17" s="182" t="n">
        <v>14</v>
      </c>
      <c r="E17" s="166" t="inlineStr">
        <is>
          <t>CCM1</t>
        </is>
      </c>
      <c r="F17" s="167" t="inlineStr">
        <is>
          <t>Falta de dosis, revision carrusel de insercion</t>
        </is>
      </c>
      <c r="G17" s="168" t="n">
        <v>300</v>
      </c>
      <c r="H17" s="169" t="n">
        <v>1</v>
      </c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</row>
    <row r="18" ht="15.75" customHeight="1">
      <c r="A18" s="32" t="n"/>
      <c r="B18" s="32" t="n"/>
      <c r="C18" s="32" t="n"/>
      <c r="D18" s="182" t="n">
        <v>15</v>
      </c>
      <c r="E18" s="166" t="inlineStr">
        <is>
          <t>CCM5</t>
        </is>
      </c>
      <c r="F18" s="167" t="inlineStr">
        <is>
          <t>punzones golpeados</t>
        </is>
      </c>
      <c r="G18" s="168" t="n">
        <v>300</v>
      </c>
      <c r="H18" s="169" t="n">
        <v>1</v>
      </c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</row>
    <row r="19" ht="15.75" customHeight="1">
      <c r="A19" s="32" t="n"/>
      <c r="B19" s="32" t="n"/>
      <c r="C19" s="32" t="n"/>
      <c r="D19" s="182" t="n">
        <v>16</v>
      </c>
      <c r="E19" s="166" t="inlineStr">
        <is>
          <t>CCM1</t>
        </is>
      </c>
      <c r="F19" s="167" t="inlineStr">
        <is>
          <t>Revision fuga material tornillo estrusor</t>
        </is>
      </c>
      <c r="G19" s="168" t="n">
        <v>240</v>
      </c>
      <c r="H19" s="169" t="n">
        <v>1</v>
      </c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</row>
    <row r="20" ht="15.75" customHeight="1">
      <c r="A20" s="32" t="n"/>
      <c r="B20" s="32" t="n"/>
      <c r="C20" s="32" t="n"/>
      <c r="D20" s="182" t="n">
        <v>17</v>
      </c>
      <c r="E20" s="166" t="inlineStr">
        <is>
          <t>CCM2</t>
        </is>
      </c>
      <c r="F20" s="167" t="inlineStr">
        <is>
          <t>Revisicion cavidad #15 por falla en la inspeccion del palley</t>
        </is>
      </c>
      <c r="G20" s="168" t="n">
        <v>240</v>
      </c>
      <c r="H20" s="169" t="n">
        <v>1</v>
      </c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</row>
    <row r="21" ht="15.75" customHeight="1">
      <c r="A21" s="32" t="n"/>
      <c r="B21" s="32" t="n"/>
      <c r="C21" s="32" t="n"/>
      <c r="D21" s="182" t="n">
        <v>18</v>
      </c>
      <c r="E21" s="166" t="inlineStr">
        <is>
          <t>CCM3</t>
        </is>
      </c>
      <c r="F21" s="167" t="inlineStr">
        <is>
          <t>Bajar Encoder  Carrusel de Corte en la FSM 3</t>
        </is>
      </c>
      <c r="G21" s="168" t="n">
        <v>240</v>
      </c>
      <c r="H21" s="169" t="n">
        <v>1</v>
      </c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</row>
    <row r="22" ht="15.75" customHeight="1">
      <c r="A22" s="32" t="n"/>
      <c r="B22" s="32" t="n"/>
      <c r="C22" s="32" t="n"/>
      <c r="D22" s="182" t="n">
        <v>19</v>
      </c>
      <c r="E22" s="166" t="inlineStr">
        <is>
          <t>CCM1</t>
        </is>
      </c>
      <c r="F22" s="167" t="inlineStr">
        <is>
          <t>Revision motor centralita.</t>
        </is>
      </c>
      <c r="G22" s="168" t="n">
        <v>225</v>
      </c>
      <c r="H22" s="169" t="n">
        <v>1</v>
      </c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</row>
    <row r="23" ht="15.75" customHeight="1">
      <c r="A23" s="32" t="n"/>
      <c r="B23" s="32" t="n"/>
      <c r="C23" s="32" t="n"/>
      <c r="D23" s="182" t="n">
        <v>20</v>
      </c>
      <c r="E23" s="166" t="inlineStr">
        <is>
          <t>CCM3</t>
        </is>
      </c>
      <c r="F23" s="167" t="inlineStr">
        <is>
          <t>Temperatura alta en la zona de la bomba y fuga de agua cavidad 14.</t>
        </is>
      </c>
      <c r="G23" s="168" t="n">
        <v>210</v>
      </c>
      <c r="H23" s="169" t="n">
        <v>1</v>
      </c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</row>
    <row r="24" ht="15.75" customHeight="1">
      <c r="A24" s="32" t="n"/>
      <c r="B24" s="32" t="n"/>
      <c r="C24" s="32" t="n"/>
      <c r="D24" s="182" t="n">
        <v>21</v>
      </c>
      <c r="E24" s="166" t="inlineStr">
        <is>
          <t>CCM3</t>
        </is>
      </c>
      <c r="F24" s="167" t="inlineStr">
        <is>
          <t>Alarma SP20</t>
        </is>
      </c>
      <c r="G24" s="168" t="n">
        <v>200</v>
      </c>
      <c r="H24" s="169" t="n">
        <v>1</v>
      </c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</row>
    <row r="25" ht="15.75" customHeight="1">
      <c r="A25" s="32" t="n"/>
      <c r="B25" s="32" t="n"/>
      <c r="C25" s="32" t="n"/>
      <c r="D25" s="182" t="n">
        <v>22</v>
      </c>
      <c r="E25" s="166" t="inlineStr">
        <is>
          <t>CCM3</t>
        </is>
      </c>
      <c r="F25" s="167" t="inlineStr">
        <is>
          <t>BLOQUEO POR ALARMA CONTROLADOR SP20</t>
        </is>
      </c>
      <c r="G25" s="168" t="n">
        <v>200</v>
      </c>
      <c r="H25" s="169" t="n">
        <v>1</v>
      </c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</row>
    <row r="26" ht="15.75" customHeight="1">
      <c r="A26" s="32" t="n"/>
      <c r="B26" s="32" t="n"/>
      <c r="C26" s="32" t="n"/>
      <c r="D26" s="182" t="n">
        <v>23</v>
      </c>
      <c r="E26" s="166" t="inlineStr">
        <is>
          <t>CCM4</t>
        </is>
      </c>
      <c r="F26" s="167" t="inlineStr">
        <is>
          <t>falla por alarma 3024 controla sp5v</t>
        </is>
      </c>
      <c r="G26" s="168" t="n">
        <v>200</v>
      </c>
      <c r="H26" s="169" t="n">
        <v>1</v>
      </c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</row>
    <row r="27" ht="15.75" customHeight="1">
      <c r="D27" s="182" t="n">
        <v>24</v>
      </c>
      <c r="E27" s="166" t="inlineStr">
        <is>
          <t>CCM6</t>
        </is>
      </c>
      <c r="F27" s="167" t="inlineStr">
        <is>
          <t>bloque de presion en tapa deformada refrigeracion en punzones defisiente</t>
        </is>
      </c>
      <c r="G27" s="168" t="n">
        <v>200</v>
      </c>
      <c r="H27" s="169" t="n">
        <v>1</v>
      </c>
    </row>
    <row r="28" ht="15.75" customHeight="1">
      <c r="A28" s="32" t="n"/>
      <c r="B28" s="32" t="n"/>
      <c r="C28" s="32" t="n"/>
      <c r="D28" s="182" t="n">
        <v>25</v>
      </c>
      <c r="E28" s="166" t="inlineStr">
        <is>
          <t>CCM8</t>
        </is>
      </c>
      <c r="F28" s="167" t="inlineStr">
        <is>
          <t>Alarma BQ8 en FSM y fallaBY-PASS</t>
        </is>
      </c>
      <c r="G28" s="168" t="n">
        <v>200</v>
      </c>
      <c r="H28" s="169" t="n">
        <v>1</v>
      </c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</row>
    <row r="29" ht="15.75" customHeight="1">
      <c r="A29" s="32" t="n"/>
      <c r="B29" s="32" t="n"/>
      <c r="C29" s="32" t="n"/>
      <c r="D29" s="182" t="n">
        <v>26</v>
      </c>
      <c r="E29" s="166" t="inlineStr">
        <is>
          <t>CCM5</t>
        </is>
      </c>
      <c r="F29" s="167" t="inlineStr">
        <is>
          <t>revision punzon # 15 y 48 por golpe</t>
        </is>
      </c>
      <c r="G29" s="168" t="n">
        <v>195</v>
      </c>
      <c r="H29" s="169" t="n">
        <v>1</v>
      </c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</row>
    <row r="30" ht="15.75" customHeight="1">
      <c r="A30" s="32" t="n"/>
      <c r="B30" s="32" t="n"/>
      <c r="C30" s="32" t="n"/>
      <c r="D30" s="182" t="n">
        <v>27</v>
      </c>
      <c r="E30" s="166" t="inlineStr">
        <is>
          <t>CCM6</t>
        </is>
      </c>
      <c r="F30" s="167" t="inlineStr">
        <is>
          <t>DAÑO ACOPLE MANGUERA TERMOREGULADOR</t>
        </is>
      </c>
      <c r="G30" s="168" t="n">
        <v>180</v>
      </c>
      <c r="H30" s="169" t="n">
        <v>1</v>
      </c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</row>
    <row r="31" ht="15.75" customHeight="1">
      <c r="A31" s="32" t="n"/>
      <c r="B31" s="32" t="n"/>
      <c r="C31" s="32" t="n"/>
      <c r="D31" s="182" t="n">
        <v>28</v>
      </c>
      <c r="E31" s="166" t="inlineStr">
        <is>
          <t>CCM3</t>
        </is>
      </c>
      <c r="F31" s="167" t="inlineStr">
        <is>
          <t>Temperatura alta en la zona de la bomba y fuga de ahua cavidad 14.</t>
        </is>
      </c>
      <c r="G31" s="168" t="n">
        <v>170</v>
      </c>
      <c r="H31" s="169" t="n">
        <v>1</v>
      </c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</row>
    <row r="32" ht="15.75" customHeight="1">
      <c r="A32" s="32" t="n"/>
      <c r="B32" s="32" t="n"/>
      <c r="C32" s="32" t="n"/>
      <c r="D32" s="182" t="n">
        <v>29</v>
      </c>
      <c r="E32" s="166" t="inlineStr">
        <is>
          <t>CCM5</t>
        </is>
      </c>
      <c r="F32" s="167" t="inlineStr">
        <is>
          <t>Revision punzon y cavidad # 2 por golpe</t>
        </is>
      </c>
      <c r="G32" s="168" t="n">
        <v>170</v>
      </c>
      <c r="H32" s="169" t="n">
        <v>1</v>
      </c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</row>
    <row r="33" ht="15.75" customHeight="1">
      <c r="A33" s="32" t="n"/>
      <c r="B33" s="32" t="n"/>
      <c r="C33" s="32" t="n"/>
      <c r="D33" s="182" t="n">
        <v>30</v>
      </c>
      <c r="E33" s="166" t="inlineStr">
        <is>
          <t>CCM2</t>
        </is>
      </c>
      <c r="F33" s="167" t="inlineStr">
        <is>
          <t>Revision zonas boquilla y cuerpo casquilo se suben de temperatura por encima del set poin.</t>
        </is>
      </c>
      <c r="G33" s="168" t="n">
        <v>160</v>
      </c>
      <c r="H33" s="169" t="n">
        <v>1</v>
      </c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</row>
    <row r="34" ht="15.75" customHeight="1">
      <c r="A34" s="32" t="n"/>
      <c r="B34" s="32" t="n"/>
      <c r="C34" s="32" t="n"/>
      <c r="D34" s="182" t="n">
        <v>31</v>
      </c>
      <c r="E34" s="166" t="inlineStr">
        <is>
          <t>CCM1</t>
        </is>
      </c>
      <c r="F34" s="167" t="inlineStr">
        <is>
          <t>Revision pantalla CVS - No prende</t>
        </is>
      </c>
      <c r="G34" s="168" t="n">
        <v>120</v>
      </c>
      <c r="H34" s="169" t="n">
        <v>1</v>
      </c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</row>
    <row r="35" ht="15.75" customHeight="1">
      <c r="A35" s="32" t="n"/>
      <c r="B35" s="32" t="n"/>
      <c r="C35" s="32" t="n"/>
      <c r="D35" s="182" t="n">
        <v>32</v>
      </c>
      <c r="E35" s="166" t="inlineStr">
        <is>
          <t>CCM4</t>
        </is>
      </c>
      <c r="F35" s="167" t="inlineStr">
        <is>
          <t>Revision Cavidad y Punzon No 60 Por Golpe</t>
        </is>
      </c>
      <c r="G35" s="168" t="n">
        <v>120</v>
      </c>
      <c r="H35" s="169" t="n">
        <v>1</v>
      </c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</row>
    <row r="36" ht="15.75" customHeight="1">
      <c r="A36" s="32" t="n"/>
      <c r="B36" s="32" t="n"/>
      <c r="C36" s="32" t="n"/>
      <c r="D36" s="182" t="n">
        <v>33</v>
      </c>
      <c r="E36" s="166" t="inlineStr">
        <is>
          <t>CCM7</t>
        </is>
      </c>
      <c r="F36" s="167" t="inlineStr">
        <is>
          <t>fuga de agua</t>
        </is>
      </c>
      <c r="G36" s="168" t="n">
        <v>120</v>
      </c>
      <c r="H36" s="169" t="n">
        <v>1</v>
      </c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</row>
    <row r="37" ht="15.75" customHeight="1">
      <c r="A37" s="32" t="n"/>
      <c r="B37" s="32" t="n"/>
      <c r="C37" s="32" t="n"/>
      <c r="D37" s="182" t="n">
        <v>34</v>
      </c>
      <c r="E37" s="166" t="inlineStr">
        <is>
          <t>CCM5</t>
        </is>
      </c>
      <c r="F37" s="167" t="inlineStr">
        <is>
          <t>PERDIDA DE SINCRONISMO FSM</t>
        </is>
      </c>
      <c r="G37" s="168" t="n">
        <v>90</v>
      </c>
      <c r="H37" s="169" t="n">
        <v>1</v>
      </c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</row>
    <row r="38" ht="15.75" customHeight="1" thickBot="1">
      <c r="D38" s="182" t="n">
        <v>35</v>
      </c>
      <c r="E38" s="166" t="inlineStr">
        <is>
          <t>CCM8</t>
        </is>
      </c>
      <c r="F38" s="167" t="inlineStr">
        <is>
          <t>Humedad en punzones 30 y 31</t>
        </is>
      </c>
      <c r="G38" s="168" t="n">
        <v>75</v>
      </c>
      <c r="H38" s="169" t="n">
        <v>1</v>
      </c>
    </row>
    <row r="39" ht="15.75" customHeight="1" thickBot="1" thickTop="1">
      <c r="A39" s="32" t="n"/>
      <c r="B39" s="32" t="n"/>
      <c r="C39" s="32" t="n"/>
      <c r="D39" s="182" t="n">
        <v>36</v>
      </c>
      <c r="E39" s="166" t="inlineStr">
        <is>
          <t>CCM8</t>
        </is>
      </c>
      <c r="F39" s="167" t="inlineStr">
        <is>
          <t>punzon # 30 y 31 con humedad</t>
        </is>
      </c>
      <c r="G39" s="168" t="n">
        <v>75</v>
      </c>
      <c r="H39" s="169" t="n">
        <v>1</v>
      </c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</row>
    <row r="40" ht="15.75" customHeight="1" thickBot="1" thickTop="1">
      <c r="D40" s="182" t="n">
        <v>37</v>
      </c>
      <c r="E40" s="166" t="inlineStr">
        <is>
          <t>CCM2</t>
        </is>
      </c>
      <c r="F40" s="167" t="inlineStr">
        <is>
          <t>punzon # 4 por concavidad fuera de norma</t>
        </is>
      </c>
      <c r="G40" s="168" t="n">
        <v>70</v>
      </c>
      <c r="H40" s="169" t="n">
        <v>1</v>
      </c>
    </row>
    <row r="41" ht="15.75" customHeight="1" thickTop="1">
      <c r="D41" s="182" t="n">
        <v>38</v>
      </c>
      <c r="E41" s="166" t="inlineStr">
        <is>
          <t>CCM2</t>
        </is>
      </c>
      <c r="F41" s="167" t="inlineStr">
        <is>
          <t>Revision y cambio punzones posicion # 12 y # 16 presenta rechupe</t>
        </is>
      </c>
      <c r="G41" s="168" t="n">
        <v>70</v>
      </c>
      <c r="H41" s="169" t="n">
        <v>1</v>
      </c>
    </row>
    <row r="42" ht="15.75" customHeight="1">
      <c r="D42" s="182" t="n">
        <v>39</v>
      </c>
      <c r="E42" s="166" t="inlineStr">
        <is>
          <t>CCM4</t>
        </is>
      </c>
      <c r="F42" s="167" t="inlineStr">
        <is>
          <t>Revisionpunzon # 46 posicion # 5 por concavidad alta</t>
        </is>
      </c>
      <c r="G42" s="168" t="n">
        <v>70</v>
      </c>
      <c r="H42" s="169" t="n">
        <v>1</v>
      </c>
    </row>
    <row r="43" ht="15.75" customHeight="1">
      <c r="D43" s="182" t="n">
        <v>40</v>
      </c>
      <c r="E43" s="166" t="inlineStr">
        <is>
          <t>CCM3</t>
        </is>
      </c>
      <c r="F43" s="167" t="inlineStr">
        <is>
          <t>Falta de grasa en la  FSM</t>
        </is>
      </c>
      <c r="G43" s="168" t="n">
        <v>60</v>
      </c>
      <c r="H43" s="169" t="n">
        <v>1</v>
      </c>
    </row>
    <row r="44" ht="15.75" customHeight="1">
      <c r="D44" s="182" t="n">
        <v>41</v>
      </c>
      <c r="E44" s="166" t="inlineStr">
        <is>
          <t>CCM3</t>
        </is>
      </c>
      <c r="F44" s="167" t="inlineStr">
        <is>
          <t>fuga de agua cavidad #16</t>
        </is>
      </c>
      <c r="G44" s="168" t="n">
        <v>60</v>
      </c>
      <c r="H44" s="169" t="n">
        <v>1</v>
      </c>
    </row>
    <row r="45" ht="15.75" customHeight="1">
      <c r="D45" s="182" t="n">
        <v>42</v>
      </c>
      <c r="E45" s="166" t="inlineStr">
        <is>
          <t>CCM4</t>
        </is>
      </c>
      <c r="F45" s="167" t="inlineStr">
        <is>
          <t>Parada Por Leve Golpe Punzon No 5</t>
        </is>
      </c>
      <c r="G45" s="168" t="n">
        <v>50</v>
      </c>
      <c r="H45" s="169" t="n">
        <v>1</v>
      </c>
    </row>
    <row r="46" ht="15.75" customHeight="1">
      <c r="D46" s="182" t="n">
        <v>43</v>
      </c>
      <c r="E46" s="166" t="inlineStr">
        <is>
          <t>CCM3</t>
        </is>
      </c>
      <c r="F46" s="167" t="inlineStr">
        <is>
          <t>Parada por alarma SP18</t>
        </is>
      </c>
      <c r="G46" s="168" t="n">
        <v>40</v>
      </c>
      <c r="H46" s="169" t="n">
        <v>1</v>
      </c>
    </row>
    <row r="47" ht="15.75" customHeight="1">
      <c r="D47" s="182" t="n">
        <v>44</v>
      </c>
      <c r="E47" s="166" t="inlineStr">
        <is>
          <t>CCM4</t>
        </is>
      </c>
      <c r="F47" s="167" t="inlineStr">
        <is>
          <t>Revision punzones #43 - #41 por rebaba posicion #5 - #41</t>
        </is>
      </c>
      <c r="G47" s="168" t="n">
        <v>30</v>
      </c>
      <c r="H47" s="169" t="n">
        <v>1</v>
      </c>
    </row>
    <row r="48" ht="15.75" customHeight="1">
      <c r="D48" s="182" t="n">
        <v>45</v>
      </c>
      <c r="E48" s="166" t="inlineStr">
        <is>
          <t>CCM5</t>
        </is>
      </c>
      <c r="F48" s="167" t="inlineStr">
        <is>
          <t>Sin descripción de parada</t>
        </is>
      </c>
      <c r="G48" s="168" t="n">
        <v>30</v>
      </c>
      <c r="H48" s="169" t="n">
        <v>1</v>
      </c>
    </row>
    <row r="49" ht="15.75" customHeight="1">
      <c r="D49" s="182" t="n">
        <v>46</v>
      </c>
      <c r="E49" s="166" t="inlineStr">
        <is>
          <t>CCM1</t>
        </is>
      </c>
      <c r="F49" s="167" t="inlineStr">
        <is>
          <t>Revision calbibracion de cuchillas</t>
        </is>
      </c>
      <c r="G49" s="168" t="n">
        <v>25</v>
      </c>
      <c r="H49" s="169" t="n">
        <v>1</v>
      </c>
    </row>
    <row r="50" ht="15.75" customHeight="1">
      <c r="D50" s="182" t="n">
        <v>47</v>
      </c>
      <c r="E50" s="166" t="inlineStr">
        <is>
          <t>CCM1</t>
        </is>
      </c>
      <c r="F50" s="167" t="inlineStr">
        <is>
          <t>Revisar alarma SP19</t>
        </is>
      </c>
      <c r="G50" s="168" t="n">
        <v>20</v>
      </c>
      <c r="H50" s="169" t="n">
        <v>1</v>
      </c>
    </row>
    <row r="51" ht="15.75" customHeight="1">
      <c r="D51" s="182" t="n">
        <v>48</v>
      </c>
      <c r="E51" s="166" t="inlineStr">
        <is>
          <t>CCM4</t>
        </is>
      </c>
      <c r="F51" s="167" t="inlineStr">
        <is>
          <t>Punzon 46 posicion 5 concavidad alta.</t>
        </is>
      </c>
      <c r="G51" s="168" t="n">
        <v>10</v>
      </c>
      <c r="H51" s="169" t="n">
        <v>1</v>
      </c>
    </row>
    <row r="52">
      <c r="A52" s="32" t="n"/>
      <c r="B52" s="32" t="n"/>
      <c r="C52" s="32" t="n"/>
      <c r="E52" s="32" t="n"/>
      <c r="F52" s="37" t="inlineStr">
        <is>
          <t>TOTAL TIEMPOS PERDIDOS AREA</t>
        </is>
      </c>
      <c r="G52" s="36">
        <f>SUM(G4:G51)</f>
        <v/>
      </c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</row>
    <row r="6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</row>
    <row r="78">
      <c r="A78" s="32" t="n"/>
      <c r="B78" s="32" t="n"/>
      <c r="C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</row>
    <row r="79">
      <c r="A79" s="32" t="n"/>
      <c r="B79" s="32" t="n"/>
      <c r="C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</row>
    <row r="80">
      <c r="A80" s="32" t="n"/>
      <c r="B80" s="32" t="n"/>
      <c r="C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</row>
    <row r="81">
      <c r="A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</row>
    <row r="82">
      <c r="A82" s="32" t="n"/>
      <c r="J82" s="32" t="n"/>
      <c r="K82" s="32" t="n"/>
      <c r="L82" s="32" t="n"/>
      <c r="U82" s="32" t="n"/>
      <c r="V82" s="32" t="n"/>
      <c r="W82" s="32" t="n"/>
    </row>
    <row r="83">
      <c r="A83" s="32" t="n"/>
      <c r="J83" s="32" t="n"/>
      <c r="K83" s="32" t="n"/>
      <c r="L83" s="32" t="n"/>
    </row>
    <row r="84">
      <c r="A84" s="32" t="n"/>
      <c r="J84" s="32" t="n"/>
      <c r="K84" s="32" t="n"/>
      <c r="L84" s="32" t="n"/>
    </row>
    <row r="85">
      <c r="A85" s="32" t="n"/>
      <c r="J85" s="32" t="n"/>
      <c r="K85" s="32" t="n"/>
      <c r="L85" s="32" t="n"/>
    </row>
    <row r="86">
      <c r="A86" s="32" t="n"/>
    </row>
  </sheetData>
  <mergeCells count="2">
    <mergeCell ref="J4:K4"/>
    <mergeCell ref="J7:L8"/>
  </mergeCells>
  <conditionalFormatting sqref="F5:F36">
    <cfRule type="expression" priority="288" dxfId="0" stopIfTrue="1">
      <formula>IF(C1048537=$F$1757,F5)</formula>
    </cfRule>
  </conditionalFormatting>
  <conditionalFormatting sqref="F6:F38">
    <cfRule type="expression" priority="320" dxfId="0" stopIfTrue="1">
      <formula>IF(C1048539=$F$1757,F6)</formula>
    </cfRule>
  </conditionalFormatting>
  <conditionalFormatting sqref="F5">
    <cfRule type="expression" priority="2" dxfId="0" stopIfTrue="1">
      <formula>IF(C1048536=$F$1757,F5)</formula>
    </cfRule>
  </conditionalFormatting>
  <conditionalFormatting sqref="F4">
    <cfRule type="expression" priority="3" dxfId="0" stopIfTrue="1">
      <formula>IF(C1048536=$F$1757,F4)</formula>
    </cfRule>
  </conditionalFormatting>
  <conditionalFormatting sqref="F38">
    <cfRule type="expression" priority="1" dxfId="0" stopIfTrue="1">
      <formula>IF(C1048570=$F$1757,F38)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6" tint="0.5999938962981048"/>
    <outlinePr summaryBelow="1" summaryRight="1"/>
    <pageSetUpPr fitToPage="1"/>
  </sheetPr>
  <dimension ref="A1:T41"/>
  <sheetViews>
    <sheetView showGridLines="0" showWhiteSpace="0" zoomScale="80" zoomScaleNormal="85" zoomScalePageLayoutView="80" workbookViewId="0">
      <selection activeCell="K11" sqref="K11"/>
    </sheetView>
  </sheetViews>
  <sheetFormatPr baseColWidth="10" defaultRowHeight="15"/>
  <cols>
    <col width="3.28515625" customWidth="1" style="16" min="1" max="1"/>
    <col width="5.28515625" bestFit="1" customWidth="1" min="2" max="2"/>
    <col width="11.85546875" bestFit="1" customWidth="1" min="3" max="3"/>
    <col width="13.28515625" customWidth="1" min="4" max="4"/>
    <col width="16.42578125" customWidth="1" min="5" max="5"/>
    <col width="16.5703125" customWidth="1" min="6" max="7"/>
    <col width="3.7109375" customWidth="1" min="8" max="8"/>
    <col width="1.140625" customWidth="1" min="9" max="9"/>
    <col width="6.7109375" bestFit="1" customWidth="1" min="10" max="10"/>
    <col width="50.42578125" bestFit="1" customWidth="1" min="11" max="11"/>
    <col width="35.7109375" customWidth="1" min="12" max="12"/>
    <col width="41.140625" customWidth="1" min="13" max="13"/>
  </cols>
  <sheetData>
    <row r="1" ht="22.15" customHeight="1">
      <c r="A1" s="184" t="n"/>
      <c r="B1" s="185" t="n"/>
      <c r="C1" s="185" t="n"/>
      <c r="D1" s="186" t="n"/>
      <c r="E1" s="187" t="inlineStr">
        <is>
          <t>CONTROL EVENTOS SIGNIFICATIVOS</t>
        </is>
      </c>
      <c r="F1" s="185" t="n"/>
      <c r="G1" s="185" t="n"/>
      <c r="H1" s="185" t="n"/>
      <c r="I1" s="185" t="n"/>
      <c r="J1" s="185" t="n"/>
      <c r="K1" s="185" t="n"/>
      <c r="L1" s="186" t="n"/>
      <c r="M1" s="188" t="inlineStr">
        <is>
          <t>NDXXXXX</t>
        </is>
      </c>
      <c r="N1" s="1" t="n"/>
      <c r="O1" s="2" t="n"/>
      <c r="P1" s="2" t="n"/>
      <c r="Q1" s="2" t="n"/>
      <c r="R1" s="2" t="n"/>
      <c r="S1" s="2" t="n"/>
      <c r="T1" s="2" t="n"/>
    </row>
    <row r="2" ht="22.15" customHeight="1">
      <c r="A2" s="189" t="n"/>
      <c r="B2" s="190" t="n"/>
      <c r="C2" s="190" t="n"/>
      <c r="D2" s="191" t="n"/>
      <c r="E2" s="192" t="n"/>
      <c r="F2" s="190" t="n"/>
      <c r="G2" s="190" t="n"/>
      <c r="H2" s="190" t="n"/>
      <c r="I2" s="190" t="n"/>
      <c r="J2" s="190" t="n"/>
      <c r="K2" s="190" t="n"/>
      <c r="L2" s="191" t="n"/>
      <c r="M2" s="193" t="n"/>
      <c r="N2" s="1" t="n"/>
      <c r="O2" s="2" t="n"/>
      <c r="P2" s="2" t="n"/>
      <c r="Q2" s="2" t="n"/>
      <c r="R2" s="2" t="n"/>
      <c r="S2" s="2" t="n"/>
      <c r="T2" s="2" t="n"/>
    </row>
    <row r="3" ht="18.75" customHeight="1">
      <c r="A3" s="194" t="inlineStr">
        <is>
          <t xml:space="preserve">                   GESTIÓN DE MANTENIMIENTO DIVISIÓN PLÁSTICA</t>
        </is>
      </c>
      <c r="B3" s="195" t="n"/>
      <c r="C3" s="195" t="n"/>
      <c r="D3" s="195" t="n"/>
      <c r="E3" s="195" t="n"/>
      <c r="F3" s="195" t="n"/>
      <c r="G3" s="195" t="n"/>
      <c r="H3" s="195" t="n"/>
      <c r="I3" s="195" t="n"/>
      <c r="J3" s="195" t="n"/>
      <c r="K3" s="195" t="n"/>
      <c r="L3" s="195" t="n"/>
      <c r="M3" s="4" t="n"/>
      <c r="N3" s="1" t="n"/>
      <c r="O3" s="2" t="n"/>
      <c r="P3" s="2" t="n"/>
      <c r="Q3" s="2" t="n"/>
      <c r="R3" s="2" t="n"/>
      <c r="S3" s="2" t="n"/>
    </row>
    <row r="4" ht="2.45" customHeight="1">
      <c r="A4" s="3" t="n"/>
      <c r="B4" s="1" t="n"/>
      <c r="C4" s="1" t="n"/>
      <c r="D4" s="1" t="n"/>
      <c r="E4" s="1" t="n"/>
      <c r="F4" s="1" t="n"/>
      <c r="G4" s="1" t="n"/>
      <c r="H4" s="1" t="n"/>
      <c r="I4" s="2" t="n"/>
      <c r="J4" s="2" t="n"/>
      <c r="K4" s="2" t="n"/>
      <c r="L4" s="2" t="n"/>
      <c r="M4" s="4" t="n"/>
      <c r="N4" s="1" t="n"/>
      <c r="O4" s="2" t="n"/>
      <c r="P4" s="2" t="n"/>
      <c r="Q4" s="2" t="n"/>
      <c r="R4" s="2" t="n"/>
      <c r="S4" s="2" t="n"/>
    </row>
    <row r="5" ht="23.45" customHeight="1">
      <c r="A5" s="196" t="inlineStr">
        <is>
          <t xml:space="preserve">                 Área de Tapa Plástica</t>
        </is>
      </c>
      <c r="B5" s="195" t="n"/>
      <c r="C5" s="195" t="n"/>
      <c r="D5" s="195" t="n"/>
      <c r="E5" s="195" t="n"/>
      <c r="F5" s="195" t="n"/>
      <c r="G5" s="195" t="n"/>
      <c r="H5" s="195" t="n"/>
      <c r="I5" s="195" t="n"/>
      <c r="J5" s="195" t="n"/>
      <c r="K5" s="195" t="n"/>
      <c r="L5" s="195" t="n"/>
      <c r="M5" s="4" t="n"/>
      <c r="N5" s="1" t="n"/>
      <c r="O5" s="2" t="n"/>
      <c r="P5" s="2" t="n"/>
      <c r="Q5" s="2" t="n"/>
      <c r="R5" s="2" t="n"/>
      <c r="S5" s="2" t="n"/>
    </row>
    <row r="6" ht="5.45" customHeight="1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7" t="n"/>
      <c r="N6" s="1" t="n"/>
      <c r="O6" s="2" t="n"/>
      <c r="P6" s="2" t="n"/>
      <c r="Q6" s="2" t="n"/>
      <c r="R6" s="2" t="n"/>
      <c r="S6" s="2" t="n"/>
      <c r="T6" s="2" t="n"/>
    </row>
    <row r="7" ht="19.9" customHeight="1">
      <c r="A7" s="8" t="n"/>
      <c r="B7" s="11" t="n"/>
      <c r="C7" s="10" t="n"/>
      <c r="D7" s="197" t="inlineStr">
        <is>
          <t>N° EVENTOS POR FALLA AL MES</t>
        </is>
      </c>
      <c r="E7" s="198" t="n"/>
      <c r="F7" s="198" t="n"/>
      <c r="G7" s="198" t="n"/>
      <c r="H7" s="199" t="n"/>
      <c r="I7" s="17" t="n"/>
      <c r="J7" s="200" t="inlineStr">
        <is>
          <t>TIEMPO PERDIDO (MIN) (Favor Registrar de Mayor a Menor)</t>
        </is>
      </c>
      <c r="K7" s="198" t="n"/>
      <c r="L7" s="201" t="n"/>
      <c r="M7" s="7" t="n"/>
      <c r="N7" s="1" t="n"/>
      <c r="O7" s="2" t="n"/>
      <c r="P7" s="2" t="n"/>
      <c r="Q7" s="2" t="n"/>
      <c r="R7" s="2" t="n"/>
      <c r="S7" s="2" t="n"/>
      <c r="T7" s="2" t="n"/>
    </row>
    <row r="8" ht="15.6" customHeight="1">
      <c r="A8" s="18" t="n"/>
      <c r="B8" s="19" t="inlineStr">
        <is>
          <t>MES:</t>
        </is>
      </c>
      <c r="C8" s="50" t="inlineStr">
        <is>
          <t>Mayo</t>
        </is>
      </c>
      <c r="D8" s="9" t="inlineStr">
        <is>
          <t>AÑO:</t>
        </is>
      </c>
      <c r="E8" s="49" t="n">
        <v>2026</v>
      </c>
      <c r="F8" s="10" t="n"/>
      <c r="G8" s="11" t="n"/>
      <c r="H8" s="20" t="n"/>
      <c r="I8" s="21" t="n"/>
      <c r="J8" s="22" t="n"/>
      <c r="K8" s="10" t="n"/>
      <c r="L8" s="10" t="n"/>
      <c r="M8" s="12" t="n"/>
      <c r="N8" s="1" t="n"/>
      <c r="O8" s="2" t="n"/>
      <c r="P8" s="2" t="n"/>
      <c r="Q8" s="2" t="n"/>
      <c r="R8" s="2" t="n"/>
      <c r="S8" s="2" t="n"/>
      <c r="T8" s="2" t="n"/>
    </row>
    <row r="9" ht="5.45" customHeight="1">
      <c r="A9" s="5" t="n"/>
      <c r="B9" s="23" t="n"/>
      <c r="C9" s="6" t="n"/>
      <c r="D9" s="6" t="n"/>
      <c r="E9" s="6" t="n"/>
      <c r="F9" s="6" t="n"/>
      <c r="G9" s="6" t="n"/>
      <c r="H9" s="24" t="n"/>
      <c r="I9" s="25" t="n"/>
      <c r="J9" s="26" t="n"/>
      <c r="K9" s="13" t="n"/>
      <c r="L9" s="14" t="n"/>
      <c r="M9" s="7" t="n"/>
      <c r="N9" s="1" t="n"/>
      <c r="O9" s="2" t="n"/>
      <c r="P9" s="2" t="n"/>
      <c r="Q9" s="2" t="n"/>
      <c r="R9" s="2" t="n"/>
      <c r="S9" s="2" t="n"/>
      <c r="T9" s="2" t="n"/>
    </row>
    <row r="10" ht="26.45" customHeight="1">
      <c r="A10" s="62" t="inlineStr">
        <is>
          <t>N°</t>
        </is>
      </c>
      <c r="B10" s="159" t="inlineStr">
        <is>
          <t>MÁQUINA</t>
        </is>
      </c>
      <c r="C10" s="198" t="n"/>
      <c r="D10" s="161" t="inlineStr">
        <is>
          <t>DESCRIPCIÓN FALLAS</t>
        </is>
      </c>
      <c r="E10" s="198" t="n"/>
      <c r="F10" s="198" t="n"/>
      <c r="G10" s="201" t="n"/>
      <c r="H10" s="24" t="n"/>
      <c r="I10" s="25" t="n"/>
      <c r="J10" s="26" t="n"/>
      <c r="K10" s="131" t="inlineStr">
        <is>
          <t>CAUSA RAIZ</t>
        </is>
      </c>
      <c r="L10" s="202" t="inlineStr">
        <is>
          <t>ACCION CORRECTIVA</t>
        </is>
      </c>
      <c r="M10" s="203" t="n"/>
      <c r="N10" s="1" t="n"/>
      <c r="O10" s="2" t="n"/>
      <c r="P10" s="2" t="n"/>
      <c r="Q10" s="2" t="n"/>
      <c r="R10" s="2" t="n"/>
      <c r="S10" s="2" t="n"/>
      <c r="T10" s="2" t="n"/>
    </row>
    <row r="11" ht="39" customHeight="1">
      <c r="A11" s="44" t="n">
        <v>1</v>
      </c>
      <c r="B11" s="204" t="n"/>
      <c r="C11" s="205" t="n"/>
      <c r="D11" s="206" t="n"/>
      <c r="E11" s="207" t="n"/>
      <c r="F11" s="207" t="n"/>
      <c r="G11" s="208" t="n"/>
      <c r="H11" s="53" t="n"/>
      <c r="I11" s="45" t="n"/>
      <c r="J11" s="52" t="n"/>
      <c r="K11" s="56" t="n"/>
      <c r="L11" s="209" t="n"/>
      <c r="M11" s="210" t="n"/>
      <c r="N11" s="46" t="n"/>
      <c r="O11" s="2" t="n"/>
      <c r="P11" s="2" t="n"/>
      <c r="Q11" s="2" t="n"/>
      <c r="R11" s="2" t="n"/>
      <c r="S11" s="2" t="n"/>
      <c r="T11" s="2" t="n"/>
    </row>
    <row r="12" ht="16.5" customHeight="1">
      <c r="A12" s="54" t="n">
        <v>3</v>
      </c>
      <c r="B12" s="204" t="n"/>
      <c r="C12" s="205" t="n"/>
      <c r="D12" s="206" t="n"/>
      <c r="E12" s="207" t="n"/>
      <c r="F12" s="207" t="n"/>
      <c r="G12" s="208" t="n"/>
      <c r="H12" s="53" t="n"/>
      <c r="I12" s="45" t="n"/>
      <c r="J12" s="55" t="n"/>
      <c r="K12" s="56" t="n"/>
      <c r="L12" s="209" t="n"/>
      <c r="M12" s="210" t="n"/>
      <c r="N12" s="46" t="n"/>
      <c r="O12" s="2" t="n"/>
      <c r="P12" s="2" t="n"/>
      <c r="Q12" s="2" t="n"/>
      <c r="R12" s="2" t="n"/>
      <c r="S12" s="2" t="n"/>
      <c r="T12" s="2" t="n"/>
    </row>
    <row r="13" ht="32.25" customHeight="1">
      <c r="A13" s="54" t="n">
        <v>4</v>
      </c>
      <c r="B13" s="204" t="n"/>
      <c r="C13" s="205" t="n"/>
      <c r="D13" s="206" t="n"/>
      <c r="E13" s="207" t="n"/>
      <c r="F13" s="207" t="n"/>
      <c r="G13" s="208" t="n"/>
      <c r="H13" s="53" t="n"/>
      <c r="I13" s="45" t="n"/>
      <c r="J13" s="55" t="n"/>
      <c r="K13" s="56" t="n"/>
      <c r="L13" s="209" t="n"/>
      <c r="M13" s="210" t="n"/>
      <c r="N13" s="46" t="n"/>
      <c r="O13" s="2" t="n"/>
      <c r="P13" s="2" t="n"/>
      <c r="Q13" s="2" t="n"/>
      <c r="R13" s="2" t="n"/>
      <c r="S13" s="2" t="n"/>
      <c r="T13" s="2" t="n"/>
    </row>
    <row r="14" ht="16.5" customHeight="1">
      <c r="A14" s="54" t="n">
        <v>5</v>
      </c>
      <c r="B14" s="204" t="n"/>
      <c r="C14" s="205" t="n"/>
      <c r="D14" s="206" t="n"/>
      <c r="E14" s="207" t="n"/>
      <c r="F14" s="207" t="n"/>
      <c r="G14" s="208" t="n"/>
      <c r="H14" s="53" t="n"/>
      <c r="I14" s="45" t="n"/>
      <c r="J14" s="55" t="n"/>
      <c r="K14" s="56" t="n"/>
      <c r="L14" s="209" t="n"/>
      <c r="M14" s="210" t="n"/>
      <c r="N14" s="46" t="n"/>
      <c r="O14" s="2" t="n"/>
      <c r="P14" s="2" t="n"/>
      <c r="Q14" s="2" t="n"/>
      <c r="R14" s="2" t="n"/>
      <c r="S14" s="2" t="n"/>
      <c r="T14" s="2" t="n"/>
    </row>
    <row r="15" ht="16.5" customHeight="1">
      <c r="A15" s="54" t="n"/>
      <c r="B15" s="204" t="n"/>
      <c r="C15" s="205" t="n"/>
      <c r="D15" s="211" t="n"/>
      <c r="E15" s="207" t="n"/>
      <c r="F15" s="207" t="n"/>
      <c r="G15" s="212" t="n"/>
      <c r="H15" s="53" t="n"/>
      <c r="I15" s="45" t="n"/>
      <c r="J15" s="55" t="n"/>
      <c r="K15" s="56" t="n"/>
      <c r="L15" s="209" t="n"/>
      <c r="M15" s="210" t="n"/>
      <c r="N15" s="46" t="n"/>
      <c r="O15" s="87" t="n"/>
      <c r="P15" s="87" t="n"/>
      <c r="Q15" s="87" t="n"/>
      <c r="R15" s="87" t="n"/>
      <c r="S15" s="87" t="n"/>
      <c r="T15" s="87" t="n"/>
    </row>
    <row r="16" ht="16.5" customHeight="1">
      <c r="A16" s="54" t="n">
        <v>6</v>
      </c>
      <c r="B16" s="204" t="n"/>
      <c r="C16" s="205" t="n"/>
      <c r="D16" s="206" t="n"/>
      <c r="E16" s="207" t="n"/>
      <c r="F16" s="207" t="n"/>
      <c r="G16" s="208" t="n"/>
      <c r="H16" s="53" t="n"/>
      <c r="I16" s="45" t="n"/>
      <c r="J16" s="55" t="n"/>
      <c r="K16" s="56" t="n"/>
      <c r="L16" s="209" t="n"/>
      <c r="M16" s="210" t="n"/>
      <c r="N16" s="46" t="n"/>
      <c r="O16" s="2" t="n"/>
      <c r="P16" s="2" t="n"/>
      <c r="Q16" s="2" t="n"/>
      <c r="R16" s="2" t="n"/>
      <c r="S16" s="2" t="n"/>
      <c r="T16" s="2" t="n"/>
    </row>
    <row r="17" ht="16.5" customHeight="1">
      <c r="A17" s="54" t="n">
        <v>7</v>
      </c>
      <c r="B17" s="204" t="n"/>
      <c r="C17" s="205" t="n"/>
      <c r="D17" s="206" t="n"/>
      <c r="E17" s="207" t="n"/>
      <c r="F17" s="207" t="n"/>
      <c r="G17" s="208" t="n"/>
      <c r="H17" s="53" t="n"/>
      <c r="I17" s="45" t="n"/>
      <c r="J17" s="55" t="n"/>
      <c r="K17" s="56" t="n"/>
      <c r="L17" s="209" t="n"/>
      <c r="M17" s="210" t="n"/>
      <c r="N17" s="46" t="n"/>
      <c r="O17" s="15" t="n"/>
      <c r="P17" s="15" t="n"/>
      <c r="Q17" s="2" t="n"/>
      <c r="R17" s="2" t="n"/>
      <c r="S17" s="2" t="n"/>
      <c r="T17" s="2" t="n"/>
    </row>
    <row r="18">
      <c r="A18" s="48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46" t="n"/>
      <c r="O18" s="2" t="n"/>
      <c r="P18" s="2" t="n"/>
    </row>
    <row r="19">
      <c r="A19" s="48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46" t="n"/>
      <c r="O19" s="2" t="n"/>
      <c r="P19" s="2" t="n"/>
    </row>
    <row r="20">
      <c r="A20" s="48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46" t="n"/>
      <c r="O20" s="2" t="n"/>
      <c r="P20" s="2" t="n"/>
    </row>
    <row r="21">
      <c r="A21" s="48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51" t="n"/>
      <c r="O21" s="47" t="n"/>
      <c r="P21" s="47" t="n"/>
      <c r="Q21" s="32" t="n"/>
    </row>
    <row r="22" ht="29.25" customHeight="1">
      <c r="A22" s="48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51" t="n"/>
      <c r="O22" s="47" t="n"/>
      <c r="P22" s="47" t="n"/>
      <c r="Q22" s="32" t="n"/>
    </row>
    <row r="23" ht="33.75" customHeight="1">
      <c r="A23" s="48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51" t="n"/>
      <c r="O23" s="47" t="n"/>
      <c r="P23" s="47" t="n"/>
      <c r="Q23" s="32" t="n"/>
    </row>
    <row r="24" ht="32.25" customHeight="1">
      <c r="A24" s="48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51" t="n"/>
      <c r="O24" s="47" t="n"/>
      <c r="P24" s="47" t="n"/>
      <c r="Q24" s="32" t="n"/>
    </row>
    <row r="25" ht="33" customHeight="1">
      <c r="A25" s="48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51" t="n"/>
      <c r="O25" s="47" t="n"/>
      <c r="P25" s="47" t="n"/>
      <c r="Q25" s="32" t="n"/>
    </row>
    <row r="26" ht="36.75" customHeight="1">
      <c r="A26" s="48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51" t="n"/>
      <c r="O26" s="47" t="n"/>
      <c r="P26" s="47" t="n"/>
      <c r="Q26" s="32" t="n"/>
    </row>
    <row r="27" ht="49.5" customHeight="1">
      <c r="A27" s="48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51" t="n"/>
      <c r="O27" s="47" t="n"/>
      <c r="P27" s="47" t="n"/>
      <c r="Q27" s="32" t="n"/>
    </row>
    <row r="28">
      <c r="A28" s="48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51" t="n"/>
      <c r="O28" s="47" t="n"/>
      <c r="P28" s="47" t="n"/>
      <c r="Q28" s="32" t="n"/>
    </row>
    <row r="29">
      <c r="A29" s="48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51" t="n"/>
      <c r="O29" s="47" t="n"/>
      <c r="P29" s="47" t="n"/>
      <c r="Q29" s="32" t="n"/>
    </row>
    <row r="30">
      <c r="A30" s="48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51" t="n"/>
      <c r="O30" s="47" t="n"/>
      <c r="P30" s="47" t="n"/>
      <c r="Q30" s="32" t="n"/>
    </row>
    <row r="31">
      <c r="A31" s="48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51" t="n"/>
      <c r="O31" s="47" t="n"/>
      <c r="P31" s="47" t="n"/>
      <c r="Q31" s="32" t="n"/>
    </row>
    <row r="32">
      <c r="A32" s="48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51" t="n"/>
      <c r="O32" s="32" t="n"/>
      <c r="P32" s="32" t="n"/>
      <c r="Q32" s="32" t="n"/>
    </row>
    <row r="33">
      <c r="A33" s="48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51" t="n"/>
      <c r="O33" s="32" t="n"/>
      <c r="P33" s="32" t="n"/>
      <c r="Q33" s="32" t="n"/>
    </row>
    <row r="34">
      <c r="A34" s="48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51" t="n"/>
      <c r="O34" s="32" t="n"/>
      <c r="P34" s="32" t="n"/>
      <c r="Q34" s="32" t="n"/>
    </row>
    <row r="35">
      <c r="A35" s="48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51" t="n"/>
      <c r="O35" s="32" t="n"/>
      <c r="P35" s="32" t="n"/>
      <c r="Q35" s="32" t="n"/>
    </row>
    <row r="36">
      <c r="A36" s="48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51" t="n"/>
      <c r="O36" s="32" t="n"/>
      <c r="P36" s="32" t="n"/>
      <c r="Q36" s="32" t="n"/>
    </row>
    <row r="37">
      <c r="A37" s="48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51" t="n"/>
      <c r="O37" s="32" t="n"/>
      <c r="P37" s="32" t="n"/>
      <c r="Q37" s="32" t="n"/>
    </row>
    <row r="38">
      <c r="N38" s="51" t="n"/>
      <c r="O38" s="32" t="n"/>
      <c r="P38" s="32" t="n"/>
      <c r="Q38" s="32" t="n"/>
    </row>
    <row r="39">
      <c r="N39" s="51" t="n"/>
    </row>
    <row r="40">
      <c r="N40" s="51" t="n"/>
    </row>
    <row r="41">
      <c r="N41" s="51" t="n"/>
    </row>
  </sheetData>
  <mergeCells count="31">
    <mergeCell ref="L17:M17"/>
    <mergeCell ref="A1:D2"/>
    <mergeCell ref="B16:C16"/>
    <mergeCell ref="A5:M5"/>
    <mergeCell ref="D12:G12"/>
    <mergeCell ref="L16:M16"/>
    <mergeCell ref="D15:G15"/>
    <mergeCell ref="M1:M2"/>
    <mergeCell ref="L13:M13"/>
    <mergeCell ref="D14:G14"/>
    <mergeCell ref="B12:C12"/>
    <mergeCell ref="J7:L7"/>
    <mergeCell ref="L12:M12"/>
    <mergeCell ref="B11:C11"/>
    <mergeCell ref="L15:M15"/>
    <mergeCell ref="B14:C14"/>
    <mergeCell ref="B17:C17"/>
    <mergeCell ref="D10:G10"/>
    <mergeCell ref="L14:M14"/>
    <mergeCell ref="B13:C13"/>
    <mergeCell ref="D7:H7"/>
    <mergeCell ref="L10:M10"/>
    <mergeCell ref="B10:C10"/>
    <mergeCell ref="D11:G11"/>
    <mergeCell ref="D13:G13"/>
    <mergeCell ref="D17:G17"/>
    <mergeCell ref="B15:C15"/>
    <mergeCell ref="D16:G16"/>
    <mergeCell ref="E1:L2"/>
    <mergeCell ref="A3:M3"/>
    <mergeCell ref="L11:M11"/>
  </mergeCells>
  <conditionalFormatting sqref="D11">
    <cfRule type="expression" priority="14" dxfId="0" stopIfTrue="1">
      <formula>IF(#REF!=$F$1743,D11)</formula>
    </cfRule>
  </conditionalFormatting>
  <conditionalFormatting sqref="D12:D14 D17">
    <cfRule type="expression" priority="326" dxfId="0" stopIfTrue="1">
      <formula>IF(#REF!=$F$1743,D12)</formula>
    </cfRule>
  </conditionalFormatting>
  <conditionalFormatting sqref="D15">
    <cfRule type="expression" priority="2" dxfId="0" stopIfTrue="1">
      <formula>IF(#REF!=$F$1743,D15)</formula>
    </cfRule>
  </conditionalFormatting>
  <conditionalFormatting sqref="D16">
    <cfRule type="expression" priority="1" dxfId="0" stopIfTrue="1">
      <formula>IF(#REF!=$F$1743,D16)</formula>
    </cfRule>
  </conditionalFormatting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oflorez</dc:creator>
  <dcterms:created xsi:type="dcterms:W3CDTF">2011-10-22T16:56:57Z</dcterms:created>
  <dcterms:modified xsi:type="dcterms:W3CDTF">2026-08-10T23:04:40Z</dcterms:modified>
  <cp:lastModifiedBy>Diego</cp:lastModifiedBy>
  <cp:lastPrinted>2023-03-03T16:58:33Z</cp:lastPrinted>
</cp:coreProperties>
</file>