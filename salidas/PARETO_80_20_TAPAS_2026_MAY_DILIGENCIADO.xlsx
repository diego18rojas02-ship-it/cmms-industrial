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\Desktop\CCM_MANTENIMIENTO\salidas\"/>
    </mc:Choice>
  </mc:AlternateContent>
  <xr:revisionPtr revIDLastSave="0" documentId="13_ncr:1_{6230D7D7-AE5B-4847-94F5-1F1B6C91D102}" xr6:coauthVersionLast="46" xr6:coauthVersionMax="46" xr10:uidLastSave="{00000000-0000-0000-0000-000000000000}"/>
  <bookViews>
    <workbookView xWindow="5115" yWindow="2925" windowWidth="15375" windowHeight="7875" activeTab="2" xr2:uid="{00000000-000D-0000-FFFF-FFFF00000000}"/>
  </bookViews>
  <sheets>
    <sheet name="TIEMPOS PERDIDOS " sheetId="2" r:id="rId1"/>
    <sheet name="FALLAS TAPAS" sheetId="3" r:id="rId2"/>
    <sheet name="DATOS PARETO" sheetId="4" r:id="rId3"/>
    <sheet name="Revisar carrusel de Inserción p" sheetId="1" r:id="rId4"/>
  </sheets>
  <definedNames>
    <definedName name="_xlnm._FilterDatabase" localSheetId="2" hidden="1">'DATOS PARETO'!$G$3:$G$36</definedName>
    <definedName name="Print_Area" localSheetId="3">'Revisar carrusel de Inserción p'!$A$1:$M$13</definedName>
  </definedNames>
  <calcPr calcId="191029"/>
</workbook>
</file>

<file path=xl/calcChain.xml><?xml version="1.0" encoding="utf-8"?>
<calcChain xmlns="http://schemas.openxmlformats.org/spreadsheetml/2006/main">
  <c r="K6" i="4" l="1"/>
  <c r="K5" i="4"/>
  <c r="G52" i="4"/>
  <c r="E52" i="3"/>
  <c r="G49" i="3"/>
  <c r="G47" i="3"/>
  <c r="G43" i="3"/>
  <c r="G37" i="3"/>
  <c r="G31" i="3"/>
  <c r="G21" i="3"/>
  <c r="G11" i="3"/>
  <c r="G4" i="3"/>
  <c r="L11" i="2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B43" i="2" l="1"/>
  <c r="C43" i="2"/>
  <c r="D43" i="2"/>
  <c r="E43" i="2"/>
  <c r="F43" i="2"/>
  <c r="G43" i="2"/>
  <c r="H43" i="2"/>
  <c r="I43" i="2"/>
  <c r="J43" i="2"/>
  <c r="K43" i="2" l="1"/>
  <c r="L42" i="2"/>
  <c r="L41" i="2"/>
  <c r="L4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</author>
  </authors>
  <commentList>
    <comment ref="C13" authorId="0" shapeId="0" xr:uid="{4FB914DA-21EE-4016-98CA-37603FEDB740}">
      <text>
        <r>
          <rPr>
            <b/>
            <sz val="9"/>
            <color indexed="81"/>
            <rFont val="Tahoma"/>
            <charset val="1"/>
          </rPr>
          <t>Revision zonas boquilla y cuerpo casquilo se suben de temperatura por encima del set poin.</t>
        </r>
      </text>
    </comment>
    <comment ref="D13" authorId="0" shapeId="0" xr:uid="{D332FE09-770C-4F18-A62D-8779A2996287}">
      <text>
        <r>
          <rPr>
            <b/>
            <sz val="9"/>
            <color indexed="81"/>
            <rFont val="Tahoma"/>
            <charset val="1"/>
          </rPr>
          <t>BLOQUEO POR ALARMA CONTROLADOR SP20</t>
        </r>
      </text>
    </comment>
    <comment ref="F13" authorId="0" shapeId="0" xr:uid="{6752FC5B-5F7F-4B35-876F-770052B60D34}">
      <text>
        <r>
          <rPr>
            <b/>
            <sz val="9"/>
            <color indexed="81"/>
            <rFont val="Tahoma"/>
            <charset val="1"/>
          </rPr>
          <t>PERDIDA DE SINCRONISMO FSM</t>
        </r>
      </text>
    </comment>
    <comment ref="H13" authorId="0" shapeId="0" xr:uid="{D6428BBE-9F5A-48B8-982E-79B235BA63F9}">
      <text>
        <r>
          <rPr>
            <b/>
            <sz val="9"/>
            <color indexed="81"/>
            <rFont val="Tahoma"/>
            <charset val="1"/>
          </rPr>
          <t>Revision daño de racor punzon #39 (fuga de agua)</t>
        </r>
      </text>
    </comment>
    <comment ref="C14" authorId="0" shapeId="0" xr:uid="{CA149713-D588-4C69-8B53-87031DB88EC5}">
      <text>
        <r>
          <rPr>
            <b/>
            <sz val="9"/>
            <color indexed="81"/>
            <rFont val="Tahoma"/>
            <charset val="1"/>
          </rPr>
          <t>Entortamiento carrusel de insercion.</t>
        </r>
      </text>
    </comment>
    <comment ref="D14" authorId="0" shapeId="0" xr:uid="{07D83A33-6ACB-4114-A682-D9BE186FA1E0}">
      <text>
        <r>
          <rPr>
            <b/>
            <sz val="9"/>
            <color indexed="81"/>
            <rFont val="Tahoma"/>
            <charset val="1"/>
          </rPr>
          <t>1. Parada por alarma SP18
2. Bajar Encoder  Carrusel de Corte en la FSM 3
3. Cambiar encoder carrusel en la FSM 3 Por que se paso para habilitar la FMS 5 CCM5
4. Alarma SP20</t>
        </r>
      </text>
    </comment>
    <comment ref="F14" authorId="0" shapeId="0" xr:uid="{3CE71B90-C014-4074-8DE2-0D60DB9C1FFF}">
      <text>
        <r>
          <rPr>
            <b/>
            <sz val="9"/>
            <color indexed="81"/>
            <rFont val="Tahoma"/>
            <charset val="1"/>
          </rPr>
          <t>FALLA SINCRONISMO CARRUSELES</t>
        </r>
      </text>
    </comment>
    <comment ref="C15" authorId="0" shapeId="0" xr:uid="{BD2CF330-F2E7-42C2-A84A-194266122C5D}">
      <text>
        <r>
          <rPr>
            <b/>
            <sz val="9"/>
            <color indexed="81"/>
            <rFont val="Tahoma"/>
            <charset val="1"/>
          </rPr>
          <t>Entortamiento carrusel de insercion.</t>
        </r>
      </text>
    </comment>
    <comment ref="D15" authorId="0" shapeId="0" xr:uid="{4C951906-F859-45C6-B36B-40C24DD7C9FF}">
      <text>
        <r>
          <rPr>
            <b/>
            <sz val="9"/>
            <color indexed="81"/>
            <rFont val="Tahoma"/>
            <charset val="1"/>
          </rPr>
          <t>1. Alarma SP20
2. alarma BQ8 encoder</t>
        </r>
      </text>
    </comment>
    <comment ref="G15" authorId="0" shapeId="0" xr:uid="{2ACE2EFF-1052-4713-AE5D-A81A4535B859}">
      <text>
        <r>
          <rPr>
            <b/>
            <sz val="9"/>
            <color indexed="81"/>
            <rFont val="Tahoma"/>
            <charset val="1"/>
          </rPr>
          <t>1. tapa con anillo doblado recalentamiento en punzon
2. bloque de presion en tapa deformada refrigeracion en punzones defisiente</t>
        </r>
      </text>
    </comment>
    <comment ref="B16" authorId="0" shapeId="0" xr:uid="{923F0316-4641-4857-9DF0-339DAA57DA03}">
      <text>
        <r>
          <rPr>
            <b/>
            <sz val="9"/>
            <color indexed="81"/>
            <rFont val="Tahoma"/>
            <charset val="1"/>
          </rPr>
          <t>Revision calbibracion de cuchillas</t>
        </r>
      </text>
    </comment>
    <comment ref="D16" authorId="0" shapeId="0" xr:uid="{F9B322A2-0336-4BB2-A1DB-0A4EC2BE9E2D}">
      <text>
        <r>
          <rPr>
            <b/>
            <sz val="9"/>
            <color indexed="81"/>
            <rFont val="Tahoma"/>
            <charset val="1"/>
          </rPr>
          <t>1. Temperatura alta en la zona de la bomba y fuga de agua cavidad 14.
2. Temperatura alta en la zona de la bomba y fuga de ahua cavidad 14.</t>
        </r>
      </text>
    </comment>
    <comment ref="B17" authorId="0" shapeId="0" xr:uid="{D97AA5D5-BA32-4CF5-A526-8B0918E478E5}">
      <text>
        <r>
          <rPr>
            <b/>
            <sz val="9"/>
            <color indexed="81"/>
            <rFont val="Tahoma"/>
            <charset val="1"/>
          </rPr>
          <t>Revision pantalla CVS - No prende</t>
        </r>
      </text>
    </comment>
    <comment ref="G17" authorId="0" shapeId="0" xr:uid="{286C17F0-5B00-421F-91A9-678CD8597857}">
      <text>
        <r>
          <rPr>
            <b/>
            <sz val="9"/>
            <color indexed="81"/>
            <rFont val="Tahoma"/>
            <charset val="1"/>
          </rPr>
          <t>DAÑO ACOPLE MANGUERA TERMOREGULADOR</t>
        </r>
      </text>
    </comment>
    <comment ref="B18" authorId="0" shapeId="0" xr:uid="{7E58704E-054A-4F78-AB78-BBF64238E765}">
      <text>
        <r>
          <rPr>
            <b/>
            <sz val="9"/>
            <color indexed="81"/>
            <rFont val="Tahoma"/>
            <charset val="1"/>
          </rPr>
          <t>Falta de dosis, revision carrusel de insercion</t>
        </r>
      </text>
    </comment>
    <comment ref="C18" authorId="0" shapeId="0" xr:uid="{8196019D-3B46-45C6-A8F6-EA959D6CC7D5}">
      <text>
        <r>
          <rPr>
            <b/>
            <sz val="9"/>
            <color indexed="81"/>
            <rFont val="Tahoma"/>
            <charset val="1"/>
          </rPr>
          <t>Revivion de carrusel de insercion alarma SQ18</t>
        </r>
      </text>
    </comment>
    <comment ref="D18" authorId="0" shapeId="0" xr:uid="{292AD39D-B9FC-4ADD-8C62-71FAEF4FD30C}">
      <text>
        <r>
          <rPr>
            <b/>
            <sz val="9"/>
            <color indexed="81"/>
            <rFont val="Tahoma"/>
            <charset val="1"/>
          </rPr>
          <t>fuga de agua cavidad #16</t>
        </r>
      </text>
    </comment>
    <comment ref="G18" authorId="0" shapeId="0" xr:uid="{C6315B15-C737-4E74-B381-A98AA4D0A923}">
      <text>
        <r>
          <rPr>
            <b/>
            <sz val="9"/>
            <color indexed="81"/>
            <rFont val="Tahoma"/>
            <charset val="1"/>
          </rPr>
          <t>falla termoregulador temperatura alta</t>
        </r>
      </text>
    </comment>
    <comment ref="C19" authorId="0" shapeId="0" xr:uid="{EFD015BA-CEED-477F-BE98-5D4DDE7553B9}">
      <text>
        <r>
          <rPr>
            <b/>
            <sz val="9"/>
            <color indexed="81"/>
            <rFont val="Tahoma"/>
            <charset val="1"/>
          </rPr>
          <t>Revivion de carrusel de insercion alarma SQ18</t>
        </r>
      </text>
    </comment>
    <comment ref="G19" authorId="0" shapeId="0" xr:uid="{94484F74-268F-456E-AB67-C889CCC0D232}">
      <text>
        <r>
          <rPr>
            <b/>
            <sz val="9"/>
            <color indexed="81"/>
            <rFont val="Tahoma"/>
            <charset val="1"/>
          </rPr>
          <t>falla termoregulador temperatura alta</t>
        </r>
      </text>
    </comment>
    <comment ref="B20" authorId="0" shapeId="0" xr:uid="{D567F906-A87C-429F-9715-9012D4141932}">
      <text>
        <r>
          <rPr>
            <b/>
            <sz val="9"/>
            <color indexed="81"/>
            <rFont val="Tahoma"/>
            <charset val="1"/>
          </rPr>
          <t>Revision motor centralita.</t>
        </r>
      </text>
    </comment>
    <comment ref="I20" authorId="0" shapeId="0" xr:uid="{D4BC3869-E06A-4554-9C8C-E04DB21877E8}">
      <text>
        <r>
          <rPr>
            <b/>
            <sz val="9"/>
            <color indexed="81"/>
            <rFont val="Tahoma"/>
            <charset val="1"/>
          </rPr>
          <t>1. punzon # 30 y 31 con humedad
2. Humedad en punzones 30 y 31</t>
        </r>
      </text>
    </comment>
    <comment ref="C21" authorId="0" shapeId="0" xr:uid="{0208C532-4564-4405-AEE4-298C04508BC2}">
      <text>
        <r>
          <rPr>
            <b/>
            <sz val="9"/>
            <color indexed="81"/>
            <rFont val="Tahoma"/>
            <charset val="1"/>
          </rPr>
          <t>Revision y cambio punzones posicion # 12 y # 16 presenta rechupe</t>
        </r>
      </text>
    </comment>
    <comment ref="E22" authorId="0" shapeId="0" xr:uid="{76FE6E8C-1E65-4053-BD40-B0CB82CB1977}">
      <text>
        <r>
          <rPr>
            <b/>
            <sz val="9"/>
            <color indexed="81"/>
            <rFont val="Tahoma"/>
            <charset val="1"/>
          </rPr>
          <t>Revision Cavidad y Punzon No 60 Por Golpe</t>
        </r>
      </text>
    </comment>
    <comment ref="E23" authorId="0" shapeId="0" xr:uid="{27E405B4-83FC-42ED-AC84-398132072839}">
      <text>
        <r>
          <rPr>
            <b/>
            <sz val="9"/>
            <color indexed="81"/>
            <rFont val="Tahoma"/>
            <charset val="1"/>
          </rPr>
          <t>Revision Cavidad y Punzon No 60 Por Golpe</t>
        </r>
      </text>
    </comment>
    <comment ref="F25" authorId="0" shapeId="0" xr:uid="{8576163D-AA1C-4A18-AA15-5238C3487A11}">
      <text>
        <r>
          <rPr>
            <b/>
            <sz val="9"/>
            <color indexed="81"/>
            <rFont val="Tahoma"/>
            <charset val="1"/>
          </rPr>
          <t>1. revision punzon # 15 y 48 por golpe
2. punzones golpeados</t>
        </r>
      </text>
    </comment>
    <comment ref="I25" authorId="0" shapeId="0" xr:uid="{9D2007DA-A472-49DE-B279-E0763EA40323}">
      <text>
        <r>
          <rPr>
            <b/>
            <sz val="9"/>
            <color indexed="81"/>
            <rFont val="Tahoma"/>
            <charset val="1"/>
          </rPr>
          <t>Alarma BQ8 en FSM y fallaBY-PASS</t>
        </r>
      </text>
    </comment>
    <comment ref="B27" authorId="0" shapeId="0" xr:uid="{494AF07C-CBD5-4AA1-AC81-352FF36D87D7}">
      <text>
        <r>
          <rPr>
            <b/>
            <sz val="9"/>
            <color indexed="81"/>
            <rFont val="Tahoma"/>
            <charset val="1"/>
          </rPr>
          <t>Falla FSM de Sincronismo</t>
        </r>
      </text>
    </comment>
    <comment ref="E29" authorId="0" shapeId="0" xr:uid="{1A5AF35D-D9F2-42C9-B3ED-CD2A21B9DF62}">
      <text>
        <r>
          <rPr>
            <b/>
            <sz val="9"/>
            <color indexed="81"/>
            <rFont val="Tahoma"/>
            <charset val="1"/>
          </rPr>
          <t>falla por alarma 3024 controla sp5v</t>
        </r>
      </text>
    </comment>
    <comment ref="C30" authorId="0" shapeId="0" xr:uid="{41FB9164-912C-4D10-ABB1-CE311B600C16}">
      <text>
        <r>
          <rPr>
            <b/>
            <sz val="9"/>
            <color indexed="81"/>
            <rFont val="Tahoma"/>
            <charset val="1"/>
          </rPr>
          <t>1. revision cavida 15 por fuga aceite, revision carrusel de insercion |por tapa doblada
2. tapa golpeada, error sincronizacion
3. Revisicion cavidad #15 por falla en la inspeccion del palley</t>
        </r>
      </text>
    </comment>
    <comment ref="C31" authorId="0" shapeId="0" xr:uid="{CDA9FC57-CC41-4B8B-949C-95F34FD56104}">
      <text>
        <r>
          <rPr>
            <b/>
            <sz val="9"/>
            <color indexed="81"/>
            <rFont val="Tahoma"/>
            <charset val="1"/>
          </rPr>
          <t>Falla por sincronizacion en la fsm</t>
        </r>
      </text>
    </comment>
    <comment ref="B32" authorId="0" shapeId="0" xr:uid="{D64868DE-46DE-4598-B690-888705F07FC2}">
      <text>
        <r>
          <rPr>
            <b/>
            <sz val="9"/>
            <color indexed="81"/>
            <rFont val="Tahoma"/>
            <charset val="1"/>
          </rPr>
          <t>Revision fuga material tornillo estrusor</t>
        </r>
      </text>
    </comment>
    <comment ref="D32" authorId="0" shapeId="0" xr:uid="{BAB19879-C005-47F2-868A-91A12A114B5C}">
      <text>
        <r>
          <rPr>
            <b/>
            <sz val="9"/>
            <color indexed="81"/>
            <rFont val="Tahoma"/>
            <charset val="1"/>
          </rPr>
          <t>Falta de grasa en la  FSM</t>
        </r>
      </text>
    </comment>
    <comment ref="C33" authorId="0" shapeId="0" xr:uid="{BD580670-5F9B-4A86-AB92-D3616279D4A6}">
      <text>
        <r>
          <rPr>
            <b/>
            <sz val="9"/>
            <color indexed="81"/>
            <rFont val="Tahoma"/>
            <charset val="1"/>
          </rPr>
          <t>Parada por alarma BQ8 en la FSM</t>
        </r>
      </text>
    </comment>
    <comment ref="F33" authorId="0" shapeId="0" xr:uid="{79BF75AA-BFFA-4373-852A-70DA8FCE88FE}">
      <text>
        <r>
          <rPr>
            <b/>
            <sz val="9"/>
            <color indexed="81"/>
            <rFont val="Tahoma"/>
            <charset val="1"/>
          </rPr>
          <t>Revision punzon y cavidad # 2 por golpe</t>
        </r>
      </text>
    </comment>
    <comment ref="C34" authorId="0" shapeId="0" xr:uid="{075907B8-7A0D-4C22-9236-38CBD5465CFB}">
      <text>
        <r>
          <rPr>
            <b/>
            <sz val="9"/>
            <color indexed="81"/>
            <rFont val="Tahoma"/>
            <charset val="1"/>
          </rPr>
          <t>Parada por alarma BQ8 en la FSM</t>
        </r>
      </text>
    </comment>
    <comment ref="E36" authorId="0" shapeId="0" xr:uid="{0F0B71D4-AA9C-4017-8C6F-0D52323F5496}">
      <text>
        <r>
          <rPr>
            <b/>
            <sz val="9"/>
            <color indexed="81"/>
            <rFont val="Tahoma"/>
            <charset val="1"/>
          </rPr>
          <t>Parada Por Leve Golpe Punzon No 5</t>
        </r>
      </text>
    </comment>
    <comment ref="B37" authorId="0" shapeId="0" xr:uid="{A7213A96-B9A9-43FD-9F6E-09F9B9430C07}">
      <text>
        <r>
          <rPr>
            <b/>
            <sz val="9"/>
            <color indexed="81"/>
            <rFont val="Tahoma"/>
            <charset val="1"/>
          </rPr>
          <t>Revisar alarma SP19</t>
        </r>
      </text>
    </comment>
    <comment ref="E37" authorId="0" shapeId="0" xr:uid="{ED203609-9120-4FCB-BB8A-F1E7CC78633E}">
      <text>
        <r>
          <rPr>
            <b/>
            <sz val="9"/>
            <color indexed="81"/>
            <rFont val="Tahoma"/>
            <charset val="1"/>
          </rPr>
          <t>1. Punzon 46 posicion 5 concavidad alta.
2. Revisionpunzon # 46 posicion # 5 por concavidad alta</t>
        </r>
      </text>
    </comment>
    <comment ref="E38" authorId="0" shapeId="0" xr:uid="{2E09B417-E76B-417E-AD8C-2CC3A51FD0B3}">
      <text>
        <r>
          <rPr>
            <b/>
            <sz val="9"/>
            <color indexed="81"/>
            <rFont val="Tahoma"/>
            <charset val="1"/>
          </rPr>
          <t>Revision punzones #43 - #41 por rebaba posicion #5 - #41</t>
        </r>
      </text>
    </comment>
    <comment ref="C39" authorId="0" shapeId="0" xr:uid="{3A67DBD1-C235-44E6-9642-3AAC99FAC8EF}">
      <text>
        <r>
          <rPr>
            <b/>
            <sz val="9"/>
            <color indexed="81"/>
            <rFont val="Tahoma"/>
            <charset val="1"/>
          </rPr>
          <t>punzon # 4 por concavidad fuera de norma</t>
        </r>
      </text>
    </comment>
    <comment ref="H41" authorId="0" shapeId="0" xr:uid="{D0B53B6F-4420-430C-A32D-2AE5654A1B1C}">
      <text>
        <r>
          <rPr>
            <b/>
            <sz val="9"/>
            <color indexed="81"/>
            <rFont val="Tahoma"/>
            <charset val="1"/>
          </rPr>
          <t>fuga de agua</t>
        </r>
      </text>
    </comment>
  </commentList>
</comments>
</file>

<file path=xl/sharedStrings.xml><?xml version="1.0" encoding="utf-8"?>
<sst xmlns="http://schemas.openxmlformats.org/spreadsheetml/2006/main" count="235" uniqueCount="90">
  <si>
    <t>CONTROL EVENTOS SIGNIFICATIVOS</t>
  </si>
  <si>
    <t>NDXXXXX</t>
  </si>
  <si>
    <t>MES:</t>
  </si>
  <si>
    <t>AÑO:</t>
  </si>
  <si>
    <t>N° EVENTOS POR FALLA AL MES</t>
  </si>
  <si>
    <t>TIEMPO PERDIDO (MIN) (Favor Registrar de Mayor a Menor)</t>
  </si>
  <si>
    <t>N°</t>
  </si>
  <si>
    <t xml:space="preserve">                   GESTIÓN DE MANTENIMIENTO DIVISIÓN PLÁSTICA</t>
  </si>
  <si>
    <t xml:space="preserve">                 Área de Tapa Plástica</t>
  </si>
  <si>
    <t xml:space="preserve">DÍA / planta </t>
  </si>
  <si>
    <t>CCM 01</t>
  </si>
  <si>
    <t>CCM 02</t>
  </si>
  <si>
    <t>CCM 03</t>
  </si>
  <si>
    <t>CCM 04</t>
  </si>
  <si>
    <t>CCM 05</t>
  </si>
  <si>
    <t>PMV 02</t>
  </si>
  <si>
    <t>PMV 04</t>
  </si>
  <si>
    <t>Falla No</t>
  </si>
  <si>
    <t>DESCRIPCIÓN PARADA</t>
  </si>
  <si>
    <t>TIEMPO PERDIDO (MIN)</t>
  </si>
  <si>
    <t>N° Eventos</t>
  </si>
  <si>
    <t>MAQUINA</t>
  </si>
  <si>
    <t>TIEPOS PERDIDO MAQUINA</t>
  </si>
  <si>
    <t>TOTAL TIEMPOS PERDIDOS AREA</t>
  </si>
  <si>
    <t>TIEMPO 80 %</t>
  </si>
  <si>
    <t>EVENTOS 20%</t>
  </si>
  <si>
    <t>Total día</t>
  </si>
  <si>
    <t>CCM 06</t>
  </si>
  <si>
    <t>CCM7</t>
  </si>
  <si>
    <t>CCM8</t>
  </si>
  <si>
    <t>MÁQUINA</t>
  </si>
  <si>
    <t>DESCRIPCIÓN FALLAS</t>
  </si>
  <si>
    <t>CAUSA RAIZ</t>
  </si>
  <si>
    <t>ACCION CORRECTIVA</t>
  </si>
  <si>
    <t>Junio</t>
  </si>
  <si>
    <t>CCM1</t>
  </si>
  <si>
    <t>Falla FSM de Sincronismo</t>
  </si>
  <si>
    <t>Falta de dosis, revision carrusel de insercion</t>
  </si>
  <si>
    <t>Revision fuga material tornillo estrusor</t>
  </si>
  <si>
    <t>Revision motor centralita.</t>
  </si>
  <si>
    <t>Revision pantalla CVS - No prende</t>
  </si>
  <si>
    <t>Revision calbibracion de cuchillas</t>
  </si>
  <si>
    <t>Revisar alarma SP19</t>
  </si>
  <si>
    <t>CCM2</t>
  </si>
  <si>
    <t>Parada por alarma BQ8 en la FSM</t>
  </si>
  <si>
    <t>Falla por sincronizacion en la fsm</t>
  </si>
  <si>
    <t>revision cavida 15 por fuga aceite, revision carrusel de insercion |por tapa doblada</t>
  </si>
  <si>
    <t>Revivion de carrusel de insercion alarma SQ18</t>
  </si>
  <si>
    <t>tapa golpeada, error sincronizacion</t>
  </si>
  <si>
    <t>Entortamiento carrusel de insercion.</t>
  </si>
  <si>
    <t>Revisicion cavidad #15 por falla en la inspeccion del palley</t>
  </si>
  <si>
    <t>Revision zonas boquilla y cuerpo casquilo se suben de temperatura por encima del set poin.</t>
  </si>
  <si>
    <t>punzon # 4 por concavidad fuera de norma</t>
  </si>
  <si>
    <t>Revision y cambio punzones posicion # 12 y # 16 presenta rechupe</t>
  </si>
  <si>
    <t>CCM3</t>
  </si>
  <si>
    <t>alarma BQ8 encoder</t>
  </si>
  <si>
    <t>Cambiar encoder carrusel en la FSM 3 Por que se paso para habilitar la FMS 5 CCM5</t>
  </si>
  <si>
    <t>Bajar Encoder  Carrusel de Corte en la FSM 3</t>
  </si>
  <si>
    <t>Temperatura alta en la zona de la bomba y fuga de agua cavidad 14.</t>
  </si>
  <si>
    <t>Alarma SP20</t>
  </si>
  <si>
    <t>BLOQUEO POR ALARMA CONTROLADOR SP20</t>
  </si>
  <si>
    <t>Temperatura alta en la zona de la bomba y fuga de ahua cavidad 14.</t>
  </si>
  <si>
    <t>Falta de grasa en la  FSM</t>
  </si>
  <si>
    <t>fuga de agua cavidad #16</t>
  </si>
  <si>
    <t>Parada por alarma SP18</t>
  </si>
  <si>
    <t>CCM4</t>
  </si>
  <si>
    <t>falla por alarma 3024 controla sp5v</t>
  </si>
  <si>
    <t>Revision Cavidad y Punzon No 60 Por Golpe</t>
  </si>
  <si>
    <t>Revisionpunzon # 46 posicion # 5 por concavidad alta</t>
  </si>
  <si>
    <t>Parada Por Leve Golpe Punzon No 5</t>
  </si>
  <si>
    <t>Revision punzones #43 - #41 por rebaba posicion #5 - #41</t>
  </si>
  <si>
    <t>Punzon 46 posicion 5 concavidad alta.</t>
  </si>
  <si>
    <t>CCM5</t>
  </si>
  <si>
    <t>FALLA SINCRONISMO CARRUSELES</t>
  </si>
  <si>
    <t>punzones golpeados</t>
  </si>
  <si>
    <t>revision punzon # 15 y 48 por golpe</t>
  </si>
  <si>
    <t>Revision punzon y cavidad # 2 por golpe</t>
  </si>
  <si>
    <t>PERDIDA DE SINCRONISMO FSM</t>
  </si>
  <si>
    <t>Sin descripción de parada</t>
  </si>
  <si>
    <t>CCM6</t>
  </si>
  <si>
    <t>falla termoregulador temperatura alta</t>
  </si>
  <si>
    <t>tapa con anillo doblado recalentamiento en punzon</t>
  </si>
  <si>
    <t>bloque de presion en tapa deformada refrigeracion en punzones defisiente</t>
  </si>
  <si>
    <t>DAÑO ACOPLE MANGUERA TERMOREGULADOR</t>
  </si>
  <si>
    <t>Revision daño de racor punzon #39 (fuga de agua)</t>
  </si>
  <si>
    <t>fuga de agua</t>
  </si>
  <si>
    <t>Alarma BQ8 en FSM y fallaBY-PASS</t>
  </si>
  <si>
    <t>Humedad en punzones 30 y 31</t>
  </si>
  <si>
    <t>punzon # 30 y 31 con humedad</t>
  </si>
  <si>
    <t>PARETO 80/20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</si>
</sst>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h:mm:ss;@"/>
  </numFmts>
  <fonts count="4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24"/>
      <color indexed="62"/>
      <name val="Calibri"/>
      <family val="2"/>
    </font>
    <font>
      <b/>
      <sz val="14"/>
      <color indexed="62"/>
      <name val="Calibri"/>
      <family val="2"/>
    </font>
    <font>
      <b/>
      <sz val="14"/>
      <name val="Calibri"/>
      <family val="2"/>
    </font>
    <font>
      <b/>
      <sz val="18"/>
      <color indexed="9"/>
      <name val="Calibri"/>
      <family val="2"/>
    </font>
    <font>
      <b/>
      <sz val="11"/>
      <color indexed="9"/>
      <name val="Arial Narrow"/>
      <family val="2"/>
    </font>
    <font>
      <b/>
      <sz val="11"/>
      <color indexed="8"/>
      <name val="Arial Narrow"/>
      <family val="2"/>
    </font>
    <font>
      <sz val="8"/>
      <color indexed="9"/>
      <name val="Arial Narrow"/>
      <family val="2"/>
    </font>
    <font>
      <sz val="9"/>
      <color indexed="9"/>
      <name val="Arial Narrow"/>
      <family val="2"/>
    </font>
    <font>
      <b/>
      <sz val="12"/>
      <color indexed="9"/>
      <name val="Arial Narrow"/>
      <family val="2"/>
    </font>
    <font>
      <sz val="11"/>
      <color indexed="8"/>
      <name val="Arial Narrow"/>
      <family val="2"/>
    </font>
    <font>
      <sz val="11"/>
      <color theme="0"/>
      <name val="Calibri"/>
      <family val="2"/>
      <scheme val="minor"/>
    </font>
    <font>
      <u/>
      <sz val="11"/>
      <color indexed="12"/>
      <name val="Calibri"/>
      <family val="2"/>
    </font>
    <font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indexed="62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3"/>
      <color indexed="10"/>
      <name val="Calibri"/>
      <family val="2"/>
    </font>
    <font>
      <b/>
      <sz val="10"/>
      <color theme="3"/>
      <name val="Arial"/>
      <family val="2"/>
    </font>
    <font>
      <sz val="12"/>
      <color indexed="12"/>
      <name val="Arial"/>
      <family val="2"/>
    </font>
    <font>
      <b/>
      <sz val="12"/>
      <color theme="3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4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 monospaced for SAP"/>
      <family val="3"/>
    </font>
    <font>
      <sz val="10"/>
      <color indexed="8"/>
      <name val="Arial monospaced for SAP"/>
      <family val="3"/>
    </font>
    <font>
      <b/>
      <sz val="10"/>
      <color theme="1"/>
      <name val="Arial monospaced for SAP"/>
      <family val="3"/>
    </font>
    <font>
      <sz val="10"/>
      <color theme="1"/>
      <name val="Arial monospaced for SAP"/>
      <family val="3"/>
    </font>
    <font>
      <sz val="8"/>
      <name val="Calibri"/>
      <family val="2"/>
      <scheme val="minor"/>
    </font>
    <font>
      <sz val="10"/>
      <name val="Arial monospaced for SAP"/>
      <family val="3"/>
    </font>
    <font>
      <b/>
      <sz val="10"/>
      <color rgb="FFFF0000"/>
      <name val="Arial monospaced for SAP"/>
      <family val="3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9FBFA"/>
        <bgColor indexed="64"/>
      </patternFill>
    </fill>
  </fills>
  <borders count="111"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/>
      <bottom/>
      <diagonal/>
    </border>
    <border>
      <left/>
      <right style="thin">
        <color indexed="9"/>
      </right>
      <top/>
      <bottom/>
      <diagonal/>
    </border>
    <border>
      <left/>
      <right style="medium">
        <color indexed="8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medium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18"/>
      </right>
      <top/>
      <bottom/>
      <diagonal/>
    </border>
    <border>
      <left style="thin">
        <color indexed="18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18"/>
      </right>
      <top/>
      <bottom/>
      <diagonal/>
    </border>
    <border>
      <left style="thin">
        <color indexed="18"/>
      </left>
      <right/>
      <top/>
      <bottom/>
      <diagonal/>
    </border>
    <border>
      <left style="thin">
        <color indexed="9"/>
      </left>
      <right/>
      <top style="thin">
        <color indexed="18"/>
      </top>
      <bottom/>
      <diagonal/>
    </border>
    <border>
      <left/>
      <right/>
      <top style="thin">
        <color indexed="18"/>
      </top>
      <bottom/>
      <diagonal/>
    </border>
    <border>
      <left/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/>
      <top style="thin">
        <color indexed="18"/>
      </top>
      <bottom/>
      <diagonal/>
    </border>
    <border>
      <left/>
      <right style="thin">
        <color indexed="9"/>
      </right>
      <top style="thin">
        <color indexed="1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9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medium">
        <color indexed="8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/>
      <diagonal/>
    </border>
    <border>
      <left style="thin">
        <color indexed="9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double">
        <color theme="9" tint="-0.24994659260841701"/>
      </left>
      <right style="double">
        <color theme="9" tint="-0.24994659260841701"/>
      </right>
      <top style="double">
        <color theme="9" tint="-0.24994659260841701"/>
      </top>
      <bottom/>
      <diagonal/>
    </border>
    <border>
      <left style="double">
        <color theme="9" tint="-0.24994659260841701"/>
      </left>
      <right style="double">
        <color theme="9" tint="-0.24994659260841701"/>
      </right>
      <top style="double">
        <color theme="9" tint="-0.24994659260841701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/>
      <bottom style="double">
        <color theme="9" tint="-0.24994659260841701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double">
        <color theme="9" tint="-0.24994659260841701"/>
      </bottom>
      <diagonal/>
    </border>
    <border>
      <left style="double">
        <color theme="9" tint="-0.24994659260841701"/>
      </left>
      <right style="double">
        <color theme="9" tint="-0.24994659260841701"/>
      </right>
      <top/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double">
        <color theme="9" tint="-0.24994659260841701"/>
      </top>
      <bottom style="double">
        <color theme="9" tint="-0.24994659260841701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 style="double">
        <color indexed="53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medium">
        <color indexed="8"/>
      </right>
      <top style="thin">
        <color indexed="9"/>
      </top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53"/>
      </left>
      <right style="double">
        <color indexed="53"/>
      </right>
      <top style="thin">
        <color theme="1"/>
      </top>
      <bottom style="thin">
        <color theme="1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double">
        <color indexed="53"/>
      </left>
      <right style="double">
        <color theme="9" tint="-0.24994659260841701"/>
      </right>
      <top/>
      <bottom style="thin">
        <color auto="1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18"/>
      </top>
      <bottom/>
      <diagonal/>
    </border>
    <border>
      <left style="thin">
        <color indexed="9"/>
      </left>
      <right/>
      <top style="thin">
        <color indexed="18"/>
      </top>
      <bottom/>
      <diagonal/>
    </border>
    <border>
      <left/>
      <right style="thin">
        <color indexed="9"/>
      </right>
      <top style="thin">
        <color indexed="18"/>
      </top>
      <bottom/>
      <diagonal/>
    </border>
    <border>
      <left style="medium">
        <color indexed="8"/>
      </left>
      <right style="thin">
        <color indexed="9"/>
      </right>
      <top style="thin">
        <color indexed="1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double">
        <color indexed="53"/>
      </left>
      <right style="double">
        <color theme="9" tint="-0.24994659260841701"/>
      </right>
      <top style="double">
        <color indexed="53"/>
      </top>
      <bottom style="thin">
        <color auto="1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 style="thin">
        <color theme="1"/>
      </bottom>
      <diagonal/>
    </border>
    <border>
      <left style="double">
        <color indexed="53"/>
      </left>
      <right style="double">
        <color indexed="53"/>
      </right>
      <top style="thin">
        <color theme="1"/>
      </top>
      <bottom style="double">
        <color indexed="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53"/>
      </left>
      <right style="thin">
        <color indexed="64"/>
      </right>
      <top style="thin">
        <color indexed="64"/>
      </top>
      <bottom style="double">
        <color indexed="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53"/>
      </bottom>
      <diagonal/>
    </border>
    <border>
      <left style="double">
        <color indexed="5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5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53"/>
      </right>
      <top style="thin">
        <color indexed="64"/>
      </top>
      <bottom/>
      <diagonal/>
    </border>
    <border>
      <left style="thin">
        <color indexed="64"/>
      </left>
      <right style="double">
        <color indexed="53"/>
      </right>
      <top/>
      <bottom/>
      <diagonal/>
    </border>
    <border>
      <left style="thin">
        <color indexed="64"/>
      </left>
      <right style="double">
        <color indexed="53"/>
      </right>
      <top/>
      <bottom style="double">
        <color indexed="5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double">
        <color indexed="53"/>
      </right>
      <top style="thin">
        <color indexed="64"/>
      </top>
      <bottom style="double">
        <color theme="9" tint="-0.24994659260841701"/>
      </bottom>
      <diagonal/>
    </border>
    <border>
      <left style="double">
        <color indexed="53"/>
      </left>
      <right style="thin">
        <color indexed="64"/>
      </right>
      <top style="double">
        <color indexed="5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53"/>
      </top>
      <bottom style="thin">
        <color indexed="64"/>
      </bottom>
      <diagonal/>
    </border>
    <border>
      <left style="double">
        <color indexed="5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5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9" tint="-0.24994659260841701"/>
      </right>
      <top style="double">
        <color theme="9" tint="-0.24994659260841701"/>
      </top>
      <bottom style="thin">
        <color indexed="64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/>
      <diagonal/>
    </border>
    <border>
      <left style="thin">
        <color indexed="64"/>
      </left>
      <right style="double">
        <color indexed="53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164" fontId="32" fillId="0" borderId="0" applyFont="0" applyFill="0" applyBorder="0" applyAlignment="0" applyProtection="0"/>
    <xf numFmtId="166" fontId="30" fillId="8" borderId="58">
      <alignment horizontal="center" vertical="center" wrapText="1"/>
      <protection locked="0"/>
    </xf>
    <xf numFmtId="166" fontId="30" fillId="8" borderId="59">
      <alignment horizontal="center" vertical="center" wrapText="1"/>
      <protection locked="0"/>
    </xf>
    <xf numFmtId="166" fontId="30" fillId="8" borderId="60">
      <alignment horizontal="center" vertical="center" wrapText="1"/>
      <protection locked="0"/>
    </xf>
    <xf numFmtId="166" fontId="30" fillId="8" borderId="61">
      <alignment horizontal="center" vertical="center" wrapText="1"/>
      <protection locked="0"/>
    </xf>
    <xf numFmtId="166" fontId="30" fillId="8" borderId="62">
      <alignment horizontal="center" vertical="center" wrapText="1"/>
      <protection locked="0"/>
    </xf>
    <xf numFmtId="166" fontId="30" fillId="8" borderId="63">
      <alignment horizontal="center" vertical="center" wrapText="1"/>
      <protection locked="0"/>
    </xf>
    <xf numFmtId="165" fontId="32" fillId="0" borderId="0" applyFont="0" applyFill="0" applyBorder="0" applyAlignment="0" applyProtection="0"/>
    <xf numFmtId="166" fontId="30" fillId="8" borderId="64">
      <alignment horizontal="center" vertical="center" wrapText="1"/>
      <protection locked="0"/>
    </xf>
    <xf numFmtId="166" fontId="30" fillId="8" borderId="65">
      <alignment horizontal="center" vertical="center" wrapText="1"/>
      <protection locked="0"/>
    </xf>
    <xf numFmtId="166" fontId="30" fillId="8" borderId="66">
      <alignment horizontal="center" vertical="center" wrapText="1"/>
      <protection locked="0"/>
    </xf>
    <xf numFmtId="166" fontId="30" fillId="8" borderId="67">
      <alignment horizontal="center" vertical="center" wrapText="1"/>
      <protection locked="0"/>
    </xf>
    <xf numFmtId="166" fontId="30" fillId="8" borderId="68">
      <alignment horizontal="center" vertical="center" wrapText="1"/>
      <protection locked="0"/>
    </xf>
    <xf numFmtId="166" fontId="30" fillId="8" borderId="71">
      <alignment horizontal="center" vertical="center" wrapText="1"/>
      <protection locked="0"/>
    </xf>
    <xf numFmtId="166" fontId="30" fillId="8" borderId="77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43" fontId="32" fillId="0" borderId="0" applyFont="0" applyFill="0" applyBorder="0" applyAlignment="0" applyProtection="0"/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  <xf numFmtId="166" fontId="30" fillId="8" borderId="80">
      <alignment horizontal="center" vertical="center" wrapText="1"/>
      <protection locked="0"/>
    </xf>
  </cellStyleXfs>
  <cellXfs count="17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1" fillId="0" borderId="5" xfId="0" applyFont="1" applyBorder="1" applyAlignment="1">
      <alignment horizontal="right"/>
    </xf>
    <xf numFmtId="0" fontId="1" fillId="0" borderId="6" xfId="0" applyFont="1" applyBorder="1"/>
    <xf numFmtId="0" fontId="6" fillId="2" borderId="7" xfId="0" applyFont="1" applyFill="1" applyBorder="1" applyAlignment="1">
      <alignment vertical="center" wrapText="1"/>
    </xf>
    <xf numFmtId="0" fontId="1" fillId="0" borderId="3" xfId="0" applyFont="1" applyBorder="1" applyAlignment="1">
      <alignment horizontal="right"/>
    </xf>
    <xf numFmtId="0" fontId="7" fillId="0" borderId="1" xfId="0" applyFont="1" applyBorder="1"/>
    <xf numFmtId="0" fontId="1" fillId="0" borderId="1" xfId="0" applyFont="1" applyBorder="1"/>
    <xf numFmtId="0" fontId="1" fillId="0" borderId="2" xfId="0" applyFont="1" applyBorder="1"/>
    <xf numFmtId="0" fontId="6" fillId="2" borderId="4" xfId="0" applyFont="1" applyFill="1" applyBorder="1" applyAlignment="1">
      <alignment vertical="center" wrapText="1"/>
    </xf>
    <xf numFmtId="0" fontId="1" fillId="0" borderId="9" xfId="0" applyFont="1" applyBorder="1"/>
    <xf numFmtId="0" fontId="1" fillId="0" borderId="10" xfId="0" applyFont="1" applyBorder="1"/>
    <xf numFmtId="0" fontId="0" fillId="0" borderId="9" xfId="0" applyBorder="1"/>
    <xf numFmtId="0" fontId="0" fillId="0" borderId="0" xfId="0" applyAlignment="1">
      <alignment horizontal="right"/>
    </xf>
    <xf numFmtId="0" fontId="8" fillId="2" borderId="11" xfId="0" applyFont="1" applyFill="1" applyBorder="1" applyAlignment="1">
      <alignment horizontal="right" vertical="center" wrapText="1"/>
    </xf>
    <xf numFmtId="0" fontId="1" fillId="0" borderId="12" xfId="0" applyFont="1" applyBorder="1" applyAlignment="1">
      <alignment horizontal="right"/>
    </xf>
    <xf numFmtId="0" fontId="7" fillId="0" borderId="13" xfId="0" applyFont="1" applyBorder="1"/>
    <xf numFmtId="0" fontId="0" fillId="3" borderId="15" xfId="0" applyFill="1" applyBorder="1"/>
    <xf numFmtId="0" fontId="0" fillId="2" borderId="0" xfId="0" applyFill="1"/>
    <xf numFmtId="0" fontId="0" fillId="3" borderId="16" xfId="0" applyFill="1" applyBorder="1"/>
    <xf numFmtId="0" fontId="1" fillId="0" borderId="17" xfId="0" applyFont="1" applyBorder="1"/>
    <xf numFmtId="0" fontId="8" fillId="3" borderId="18" xfId="0" applyFont="1" applyFill="1" applyBorder="1" applyAlignment="1">
      <alignment vertical="center" textRotation="45" wrapText="1"/>
    </xf>
    <xf numFmtId="0" fontId="8" fillId="2" borderId="0" xfId="0" applyFont="1" applyFill="1" applyAlignment="1">
      <alignment vertical="center" textRotation="45" wrapText="1"/>
    </xf>
    <xf numFmtId="0" fontId="9" fillId="3" borderId="19" xfId="0" applyFont="1" applyFill="1" applyBorder="1" applyAlignment="1">
      <alignment vertical="center" textRotation="45" wrapText="1"/>
    </xf>
    <xf numFmtId="1" fontId="14" fillId="2" borderId="0" xfId="0" applyNumberFormat="1" applyFont="1" applyFill="1" applyAlignment="1">
      <alignment horizontal="center" vertical="center" wrapText="1"/>
    </xf>
    <xf numFmtId="0" fontId="15" fillId="2" borderId="0" xfId="0" applyFont="1" applyFill="1"/>
    <xf numFmtId="15" fontId="16" fillId="2" borderId="41" xfId="0" applyNumberFormat="1" applyFont="1" applyFill="1" applyBorder="1" applyAlignment="1">
      <alignment horizontal="center" vertical="center" wrapText="1"/>
    </xf>
    <xf numFmtId="15" fontId="16" fillId="2" borderId="42" xfId="0" applyNumberFormat="1" applyFont="1" applyFill="1" applyBorder="1" applyAlignment="1">
      <alignment horizontal="center" vertical="center" wrapText="1"/>
    </xf>
    <xf numFmtId="1" fontId="18" fillId="2" borderId="42" xfId="0" applyNumberFormat="1" applyFont="1" applyFill="1" applyBorder="1" applyAlignment="1">
      <alignment horizontal="center" vertical="center" wrapText="1"/>
    </xf>
    <xf numFmtId="0" fontId="0" fillId="6" borderId="0" xfId="0" applyFill="1"/>
    <xf numFmtId="1" fontId="19" fillId="2" borderId="42" xfId="0" applyNumberFormat="1" applyFont="1" applyFill="1" applyBorder="1" applyAlignment="1">
      <alignment horizontal="center" vertical="center" wrapText="1"/>
    </xf>
    <xf numFmtId="0" fontId="20" fillId="6" borderId="43" xfId="0" applyFont="1" applyFill="1" applyBorder="1" applyAlignment="1">
      <alignment horizontal="center" vertical="center" wrapText="1"/>
    </xf>
    <xf numFmtId="0" fontId="20" fillId="6" borderId="43" xfId="0" applyFont="1" applyFill="1" applyBorder="1" applyAlignment="1" applyProtection="1">
      <alignment horizontal="center" vertical="center" wrapText="1"/>
      <protection locked="0"/>
    </xf>
    <xf numFmtId="1" fontId="25" fillId="6" borderId="43" xfId="0" applyNumberFormat="1" applyFont="1" applyFill="1" applyBorder="1" applyAlignment="1">
      <alignment horizontal="center"/>
    </xf>
    <xf numFmtId="0" fontId="21" fillId="6" borderId="43" xfId="0" applyFont="1" applyFill="1" applyBorder="1" applyAlignment="1">
      <alignment horizontal="center"/>
    </xf>
    <xf numFmtId="9" fontId="12" fillId="7" borderId="46" xfId="0" applyNumberFormat="1" applyFont="1" applyFill="1" applyBorder="1" applyAlignment="1">
      <alignment horizontal="center" vertical="center"/>
    </xf>
    <xf numFmtId="0" fontId="12" fillId="7" borderId="48" xfId="0" applyFont="1" applyFill="1" applyBorder="1" applyAlignment="1">
      <alignment horizontal="center" vertical="center"/>
    </xf>
    <xf numFmtId="1" fontId="27" fillId="2" borderId="50" xfId="0" applyNumberFormat="1" applyFont="1" applyFill="1" applyBorder="1" applyAlignment="1">
      <alignment horizontal="center" vertical="center" wrapText="1"/>
    </xf>
    <xf numFmtId="1" fontId="23" fillId="0" borderId="49" xfId="0" applyNumberFormat="1" applyFont="1" applyBorder="1" applyAlignment="1">
      <alignment horizontal="center" vertical="center"/>
    </xf>
    <xf numFmtId="0" fontId="10" fillId="3" borderId="51" xfId="0" applyFont="1" applyFill="1" applyBorder="1" applyAlignment="1">
      <alignment horizontal="center" vertical="center" wrapText="1"/>
    </xf>
    <xf numFmtId="1" fontId="28" fillId="0" borderId="47" xfId="0" applyNumberFormat="1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 wrapText="1"/>
    </xf>
    <xf numFmtId="0" fontId="11" fillId="2" borderId="53" xfId="0" applyFont="1" applyFill="1" applyBorder="1" applyAlignment="1">
      <alignment horizontal="center" vertical="center" wrapText="1"/>
    </xf>
    <xf numFmtId="0" fontId="0" fillId="0" borderId="57" xfId="0" applyBorder="1"/>
    <xf numFmtId="0" fontId="0" fillId="6" borderId="2" xfId="0" applyFill="1" applyBorder="1"/>
    <xf numFmtId="0" fontId="0" fillId="6" borderId="0" xfId="0" applyFill="1" applyAlignment="1">
      <alignment horizontal="right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6" borderId="57" xfId="0" applyFill="1" applyBorder="1"/>
    <xf numFmtId="0" fontId="19" fillId="6" borderId="56" xfId="0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center" vertical="center" wrapText="1"/>
    </xf>
    <xf numFmtId="0" fontId="7" fillId="2" borderId="69" xfId="0" applyFont="1" applyFill="1" applyBorder="1" applyAlignment="1">
      <alignment horizontal="center" vertical="center" wrapText="1"/>
    </xf>
    <xf numFmtId="0" fontId="19" fillId="6" borderId="70" xfId="0" applyFont="1" applyFill="1" applyBorder="1" applyAlignment="1">
      <alignment horizontal="center" vertical="center" wrapText="1"/>
    </xf>
    <xf numFmtId="0" fontId="11" fillId="2" borderId="70" xfId="0" applyFont="1" applyFill="1" applyBorder="1" applyAlignment="1">
      <alignment horizontal="center" vertical="center" wrapText="1"/>
    </xf>
    <xf numFmtId="0" fontId="18" fillId="6" borderId="76" xfId="0" applyFont="1" applyFill="1" applyBorder="1" applyAlignment="1">
      <alignment horizontal="center" vertical="center" wrapText="1"/>
    </xf>
    <xf numFmtId="0" fontId="22" fillId="6" borderId="76" xfId="0" applyFont="1" applyFill="1" applyBorder="1" applyAlignment="1" applyProtection="1">
      <alignment horizontal="center" vertical="center" wrapText="1"/>
      <protection locked="0"/>
    </xf>
    <xf numFmtId="0" fontId="26" fillId="6" borderId="76" xfId="0" applyFont="1" applyFill="1" applyBorder="1" applyAlignment="1">
      <alignment horizontal="center" vertical="center" wrapText="1"/>
    </xf>
    <xf numFmtId="0" fontId="24" fillId="6" borderId="76" xfId="0" applyFont="1" applyFill="1" applyBorder="1" applyAlignment="1" applyProtection="1">
      <alignment horizontal="center" vertical="center" wrapText="1"/>
      <protection locked="0"/>
    </xf>
    <xf numFmtId="0" fontId="36" fillId="6" borderId="0" xfId="0" applyFont="1" applyFill="1"/>
    <xf numFmtId="0" fontId="10" fillId="3" borderId="84" xfId="0" applyFont="1" applyFill="1" applyBorder="1" applyAlignment="1">
      <alignment horizontal="right" vertical="center" wrapText="1"/>
    </xf>
    <xf numFmtId="1" fontId="27" fillId="2" borderId="80" xfId="1" applyNumberFormat="1" applyFont="1" applyFill="1" applyBorder="1" applyAlignment="1" applyProtection="1">
      <alignment horizontal="center" vertical="center" wrapText="1"/>
    </xf>
    <xf numFmtId="0" fontId="18" fillId="0" borderId="76" xfId="0" applyFont="1" applyBorder="1" applyAlignment="1">
      <alignment horizontal="center" vertical="center" wrapText="1"/>
    </xf>
    <xf numFmtId="0" fontId="22" fillId="0" borderId="76" xfId="0" applyFont="1" applyBorder="1" applyAlignment="1" applyProtection="1">
      <alignment horizontal="center" vertical="center" wrapText="1"/>
      <protection locked="0"/>
    </xf>
    <xf numFmtId="0" fontId="26" fillId="0" borderId="76" xfId="0" applyFont="1" applyBorder="1" applyAlignment="1">
      <alignment horizontal="center" vertical="center" wrapText="1"/>
    </xf>
    <xf numFmtId="0" fontId="24" fillId="0" borderId="76" xfId="0" applyFont="1" applyBorder="1" applyAlignment="1" applyProtection="1">
      <alignment horizontal="center" vertical="center" wrapText="1"/>
      <protection locked="0"/>
    </xf>
    <xf numFmtId="0" fontId="33" fillId="6" borderId="91" xfId="0" applyFont="1" applyFill="1" applyBorder="1" applyAlignment="1">
      <alignment horizontal="center" vertical="center" wrapText="1"/>
    </xf>
    <xf numFmtId="0" fontId="39" fillId="0" borderId="91" xfId="0" applyFont="1" applyBorder="1" applyAlignment="1">
      <alignment horizontal="center" vertical="center" wrapText="1"/>
    </xf>
    <xf numFmtId="0" fontId="35" fillId="6" borderId="91" xfId="0" applyFont="1" applyFill="1" applyBorder="1" applyAlignment="1" applyProtection="1">
      <alignment horizontal="center" vertical="center" wrapText="1"/>
      <protection locked="0"/>
    </xf>
    <xf numFmtId="0" fontId="34" fillId="6" borderId="91" xfId="0" applyFont="1" applyFill="1" applyBorder="1" applyAlignment="1" applyProtection="1">
      <alignment horizontal="center" vertical="center" wrapText="1"/>
      <protection locked="0"/>
    </xf>
    <xf numFmtId="0" fontId="36" fillId="6" borderId="92" xfId="0" applyFont="1" applyFill="1" applyBorder="1" applyAlignment="1">
      <alignment horizontal="center" vertical="center"/>
    </xf>
    <xf numFmtId="0" fontId="33" fillId="6" borderId="93" xfId="0" applyFont="1" applyFill="1" applyBorder="1" applyAlignment="1">
      <alignment horizontal="center" vertical="center" wrapText="1"/>
    </xf>
    <xf numFmtId="0" fontId="34" fillId="6" borderId="93" xfId="0" applyFont="1" applyFill="1" applyBorder="1" applyAlignment="1" applyProtection="1">
      <alignment horizontal="center" vertical="center" wrapText="1"/>
      <protection locked="0"/>
    </xf>
    <xf numFmtId="0" fontId="39" fillId="0" borderId="93" xfId="0" applyFont="1" applyBorder="1" applyAlignment="1">
      <alignment horizontal="center" vertical="center" wrapText="1"/>
    </xf>
    <xf numFmtId="0" fontId="35" fillId="6" borderId="93" xfId="0" applyFont="1" applyFill="1" applyBorder="1" applyAlignment="1" applyProtection="1">
      <alignment horizontal="center" vertical="center" wrapText="1"/>
      <protection locked="0"/>
    </xf>
    <xf numFmtId="0" fontId="36" fillId="6" borderId="94" xfId="0" applyFont="1" applyFill="1" applyBorder="1" applyAlignment="1">
      <alignment horizontal="center" vertical="center"/>
    </xf>
    <xf numFmtId="0" fontId="33" fillId="6" borderId="96" xfId="0" applyFont="1" applyFill="1" applyBorder="1" applyAlignment="1">
      <alignment horizontal="center" vertical="center" wrapText="1"/>
    </xf>
    <xf numFmtId="0" fontId="34" fillId="6" borderId="96" xfId="0" applyFont="1" applyFill="1" applyBorder="1" applyAlignment="1" applyProtection="1">
      <alignment horizontal="center" vertical="center" wrapText="1"/>
      <protection locked="0"/>
    </xf>
    <xf numFmtId="0" fontId="39" fillId="0" borderId="96" xfId="0" applyFont="1" applyBorder="1" applyAlignment="1">
      <alignment horizontal="center" vertical="center" wrapText="1"/>
    </xf>
    <xf numFmtId="0" fontId="35" fillId="6" borderId="96" xfId="0" applyFont="1" applyFill="1" applyBorder="1" applyAlignment="1" applyProtection="1">
      <alignment horizontal="center" vertical="center" wrapText="1"/>
      <protection locked="0"/>
    </xf>
    <xf numFmtId="0" fontId="0" fillId="0" borderId="79" xfId="0" applyBorder="1" applyAlignment="1">
      <alignment horizontal="center" vertical="center"/>
    </xf>
    <xf numFmtId="0" fontId="18" fillId="0" borderId="90" xfId="0" applyFont="1" applyBorder="1" applyAlignment="1">
      <alignment horizontal="center" vertical="center" wrapText="1"/>
    </xf>
    <xf numFmtId="0" fontId="22" fillId="0" borderId="90" xfId="0" applyFont="1" applyBorder="1" applyAlignment="1" applyProtection="1">
      <alignment horizontal="center" vertical="center" wrapText="1"/>
      <protection locked="0"/>
    </xf>
    <xf numFmtId="0" fontId="26" fillId="0" borderId="90" xfId="0" applyFont="1" applyBorder="1" applyAlignment="1">
      <alignment horizontal="center" vertical="center" wrapText="1"/>
    </xf>
    <xf numFmtId="0" fontId="24" fillId="0" borderId="90" xfId="0" applyFont="1" applyBorder="1" applyAlignment="1" applyProtection="1">
      <alignment horizontal="center" vertical="center" wrapText="1"/>
      <protection locked="0"/>
    </xf>
    <xf numFmtId="0" fontId="0" fillId="0" borderId="100" xfId="0" applyBorder="1"/>
    <xf numFmtId="0" fontId="35" fillId="6" borderId="98" xfId="0" applyFont="1" applyFill="1" applyBorder="1" applyAlignment="1" applyProtection="1">
      <alignment vertical="center" wrapText="1"/>
      <protection locked="0"/>
    </xf>
    <xf numFmtId="0" fontId="35" fillId="6" borderId="95" xfId="0" applyFont="1" applyFill="1" applyBorder="1" applyAlignment="1" applyProtection="1">
      <alignment vertical="center" wrapText="1"/>
      <protection locked="0"/>
    </xf>
    <xf numFmtId="0" fontId="35" fillId="6" borderId="101" xfId="0" applyFont="1" applyFill="1" applyBorder="1" applyAlignment="1" applyProtection="1">
      <alignment vertical="center" wrapText="1"/>
      <protection locked="0"/>
    </xf>
    <xf numFmtId="0" fontId="36" fillId="6" borderId="102" xfId="0" applyFont="1" applyFill="1" applyBorder="1" applyAlignment="1">
      <alignment horizontal="center" vertical="center"/>
    </xf>
    <xf numFmtId="0" fontId="33" fillId="6" borderId="103" xfId="0" applyFont="1" applyFill="1" applyBorder="1" applyAlignment="1">
      <alignment horizontal="center" vertical="center" wrapText="1"/>
    </xf>
    <xf numFmtId="0" fontId="34" fillId="0" borderId="103" xfId="0" applyFont="1" applyBorder="1" applyAlignment="1" applyProtection="1">
      <alignment horizontal="center" vertical="center" wrapText="1"/>
      <protection locked="0"/>
    </xf>
    <xf numFmtId="0" fontId="38" fillId="0" borderId="103" xfId="0" applyFont="1" applyBorder="1" applyAlignment="1" applyProtection="1">
      <alignment horizontal="center" vertical="center" wrapText="1"/>
      <protection locked="0"/>
    </xf>
    <xf numFmtId="0" fontId="33" fillId="0" borderId="103" xfId="0" applyFont="1" applyBorder="1" applyAlignment="1">
      <alignment horizontal="center" vertical="center" wrapText="1"/>
    </xf>
    <xf numFmtId="0" fontId="36" fillId="6" borderId="104" xfId="0" applyFont="1" applyFill="1" applyBorder="1" applyAlignment="1">
      <alignment horizontal="center" vertical="center"/>
    </xf>
    <xf numFmtId="0" fontId="33" fillId="6" borderId="105" xfId="0" applyFont="1" applyFill="1" applyBorder="1" applyAlignment="1">
      <alignment horizontal="center" vertical="center" wrapText="1"/>
    </xf>
    <xf numFmtId="0" fontId="39" fillId="0" borderId="105" xfId="0" applyFont="1" applyBorder="1" applyAlignment="1">
      <alignment horizontal="center" vertical="center" wrapText="1"/>
    </xf>
    <xf numFmtId="0" fontId="35" fillId="6" borderId="106" xfId="0" applyFont="1" applyFill="1" applyBorder="1" applyAlignment="1" applyProtection="1">
      <alignment vertical="center" wrapText="1"/>
      <protection locked="0"/>
    </xf>
    <xf numFmtId="0" fontId="34" fillId="0" borderId="107" xfId="0" applyFont="1" applyBorder="1" applyAlignment="1" applyProtection="1">
      <alignment horizontal="center" vertical="center" wrapText="1"/>
      <protection locked="0"/>
    </xf>
    <xf numFmtId="0" fontId="38" fillId="0" borderId="107" xfId="0" applyFont="1" applyBorder="1" applyAlignment="1" applyProtection="1">
      <alignment horizontal="center" vertical="center" wrapText="1"/>
      <protection locked="0"/>
    </xf>
    <xf numFmtId="0" fontId="35" fillId="0" borderId="107" xfId="0" applyFont="1" applyBorder="1" applyAlignment="1" applyProtection="1">
      <alignment horizontal="center" vertical="center" wrapText="1"/>
      <protection locked="0"/>
    </xf>
    <xf numFmtId="0" fontId="35" fillId="6" borderId="105" xfId="0" applyFont="1" applyFill="1" applyBorder="1" applyAlignment="1" applyProtection="1">
      <alignment horizontal="center" vertical="center" wrapText="1"/>
      <protection locked="0"/>
    </xf>
    <xf numFmtId="0" fontId="34" fillId="6" borderId="105" xfId="0" applyFont="1" applyFill="1" applyBorder="1" applyAlignment="1" applyProtection="1">
      <alignment horizontal="center" vertical="center" wrapText="1"/>
      <protection locked="0"/>
    </xf>
    <xf numFmtId="0" fontId="0" fillId="9" borderId="79" xfId="0" applyFill="1" applyBorder="1" applyAlignment="1">
      <alignment horizontal="center" vertical="center"/>
    </xf>
    <xf numFmtId="0" fontId="18" fillId="9" borderId="76" xfId="0" applyFont="1" applyFill="1" applyBorder="1" applyAlignment="1">
      <alignment horizontal="center" vertical="center" wrapText="1"/>
    </xf>
    <xf numFmtId="0" fontId="22" fillId="9" borderId="76" xfId="0" applyFont="1" applyFill="1" applyBorder="1" applyAlignment="1" applyProtection="1">
      <alignment horizontal="center" vertical="center" wrapText="1"/>
      <protection locked="0"/>
    </xf>
    <xf numFmtId="0" fontId="26" fillId="9" borderId="76" xfId="0" applyFont="1" applyFill="1" applyBorder="1" applyAlignment="1">
      <alignment horizontal="center" vertical="center" wrapText="1"/>
    </xf>
    <xf numFmtId="0" fontId="24" fillId="9" borderId="76" xfId="0" applyFont="1" applyFill="1" applyBorder="1" applyAlignment="1" applyProtection="1">
      <alignment horizontal="center" vertical="center" wrapText="1"/>
      <protection locked="0"/>
    </xf>
    <xf numFmtId="0" fontId="20" fillId="6" borderId="109" xfId="0" applyFont="1" applyFill="1" applyBorder="1" applyAlignment="1">
      <alignment horizontal="center" vertical="center" wrapText="1"/>
    </xf>
    <xf numFmtId="0" fontId="35" fillId="6" borderId="108" xfId="0" applyFont="1" applyFill="1" applyBorder="1" applyAlignment="1" applyProtection="1">
      <alignment horizontal="center" vertical="center" wrapText="1"/>
      <protection locked="0"/>
    </xf>
    <xf numFmtId="0" fontId="35" fillId="6" borderId="110" xfId="0" applyFont="1" applyFill="1" applyBorder="1" applyAlignment="1" applyProtection="1">
      <alignment vertical="center" wrapText="1"/>
      <protection locked="0"/>
    </xf>
    <xf numFmtId="0" fontId="0" fillId="0" borderId="88" xfId="0" applyBorder="1" applyAlignment="1">
      <alignment horizontal="center" vertical="center"/>
    </xf>
    <xf numFmtId="0" fontId="18" fillId="0" borderId="89" xfId="0" applyFont="1" applyBorder="1" applyAlignment="1">
      <alignment horizontal="center" vertical="center" wrapText="1"/>
    </xf>
    <xf numFmtId="0" fontId="22" fillId="0" borderId="89" xfId="0" applyFont="1" applyBorder="1" applyAlignment="1" applyProtection="1">
      <alignment horizontal="center" vertical="center" wrapText="1"/>
      <protection locked="0"/>
    </xf>
    <xf numFmtId="0" fontId="26" fillId="0" borderId="89" xfId="0" applyFont="1" applyBorder="1" applyAlignment="1">
      <alignment horizontal="center" vertical="center" wrapText="1"/>
    </xf>
    <xf numFmtId="0" fontId="24" fillId="0" borderId="89" xfId="0" applyFont="1" applyBorder="1" applyAlignment="1" applyProtection="1">
      <alignment horizontal="center" vertical="center" wrapText="1"/>
      <protection locked="0"/>
    </xf>
    <xf numFmtId="0" fontId="17" fillId="2" borderId="38" xfId="1" applyFont="1" applyFill="1" applyBorder="1" applyAlignment="1" applyProtection="1">
      <alignment horizontal="center" vertical="center" wrapText="1"/>
    </xf>
    <xf numFmtId="0" fontId="17" fillId="2" borderId="40" xfId="1" applyFont="1" applyFill="1" applyBorder="1" applyAlignment="1" applyProtection="1">
      <alignment horizontal="center" vertical="center" wrapText="1"/>
    </xf>
    <xf numFmtId="0" fontId="17" fillId="2" borderId="37" xfId="1" applyFont="1" applyFill="1" applyBorder="1" applyAlignment="1" applyProtection="1">
      <alignment horizontal="center" vertical="center" wrapText="1"/>
    </xf>
    <xf numFmtId="0" fontId="17" fillId="2" borderId="39" xfId="1" applyFont="1" applyFill="1" applyBorder="1" applyAlignment="1" applyProtection="1">
      <alignment horizontal="center" vertical="center" wrapText="1"/>
    </xf>
    <xf numFmtId="0" fontId="16" fillId="2" borderId="37" xfId="0" applyFont="1" applyFill="1" applyBorder="1" applyAlignment="1">
      <alignment horizontal="center" vertical="center" wrapText="1"/>
    </xf>
    <xf numFmtId="0" fontId="16" fillId="2" borderId="39" xfId="0" applyFont="1" applyFill="1" applyBorder="1" applyAlignment="1">
      <alignment horizontal="center" vertical="center" wrapText="1"/>
    </xf>
    <xf numFmtId="0" fontId="35" fillId="6" borderId="97" xfId="0" applyFont="1" applyFill="1" applyBorder="1" applyAlignment="1" applyProtection="1">
      <alignment horizontal="center" vertical="center" wrapText="1"/>
      <protection locked="0"/>
    </xf>
    <xf numFmtId="0" fontId="35" fillId="6" borderId="99" xfId="0" applyFont="1" applyFill="1" applyBorder="1" applyAlignment="1" applyProtection="1">
      <alignment horizontal="center" vertical="center" wrapText="1"/>
      <protection locked="0"/>
    </xf>
    <xf numFmtId="0" fontId="12" fillId="7" borderId="44" xfId="0" applyFont="1" applyFill="1" applyBorder="1" applyAlignment="1">
      <alignment horizontal="center"/>
    </xf>
    <xf numFmtId="0" fontId="12" fillId="7" borderId="45" xfId="0" applyFont="1" applyFill="1" applyBorder="1" applyAlignment="1">
      <alignment horizontal="center"/>
    </xf>
    <xf numFmtId="0" fontId="29" fillId="6" borderId="0" xfId="0" applyFont="1" applyFill="1" applyAlignment="1">
      <alignment horizontal="left" vertical="center" wrapText="1"/>
    </xf>
    <xf numFmtId="0" fontId="10" fillId="3" borderId="82" xfId="0" applyFont="1" applyFill="1" applyBorder="1" applyAlignment="1">
      <alignment horizontal="center" vertical="center" wrapText="1"/>
    </xf>
    <xf numFmtId="0" fontId="10" fillId="3" borderId="81" xfId="0" applyFont="1" applyFill="1" applyBorder="1" applyAlignment="1">
      <alignment horizontal="center" vertical="center" wrapText="1"/>
    </xf>
    <xf numFmtId="0" fontId="10" fillId="3" borderId="83" xfId="0" applyFont="1" applyFill="1" applyBorder="1" applyAlignment="1">
      <alignment horizontal="center" vertical="center" wrapText="1"/>
    </xf>
    <xf numFmtId="0" fontId="18" fillId="0" borderId="87" xfId="0" applyFont="1" applyBorder="1" applyAlignment="1">
      <alignment horizontal="center" vertical="center"/>
    </xf>
    <xf numFmtId="0" fontId="18" fillId="0" borderId="8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right" vertical="center" wrapText="1"/>
    </xf>
    <xf numFmtId="0" fontId="10" fillId="3" borderId="21" xfId="0" applyFont="1" applyFill="1" applyBorder="1" applyAlignment="1">
      <alignment horizontal="right" vertical="center" wrapText="1"/>
    </xf>
    <xf numFmtId="0" fontId="10" fillId="3" borderId="22" xfId="0" applyFont="1" applyFill="1" applyBorder="1" applyAlignment="1">
      <alignment horizontal="right" vertical="center" wrapText="1"/>
    </xf>
    <xf numFmtId="0" fontId="10" fillId="3" borderId="23" xfId="0" applyFont="1" applyFill="1" applyBorder="1" applyAlignment="1">
      <alignment horizontal="left" vertical="center" wrapText="1"/>
    </xf>
    <xf numFmtId="0" fontId="10" fillId="3" borderId="21" xfId="0" applyFont="1" applyFill="1" applyBorder="1" applyAlignment="1">
      <alignment horizontal="left" vertical="center" wrapText="1"/>
    </xf>
    <xf numFmtId="0" fontId="10" fillId="3" borderId="24" xfId="0" applyFont="1" applyFill="1" applyBorder="1" applyAlignment="1">
      <alignment horizontal="left" vertical="center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1" fillId="2" borderId="74" xfId="0" applyFont="1" applyFill="1" applyBorder="1" applyAlignment="1">
      <alignment horizontal="center" vertical="top" wrapText="1"/>
    </xf>
    <xf numFmtId="0" fontId="11" fillId="2" borderId="75" xfId="0" applyFont="1" applyFill="1" applyBorder="1" applyAlignment="1">
      <alignment horizontal="center" vertical="top" wrapText="1"/>
    </xf>
    <xf numFmtId="0" fontId="10" fillId="3" borderId="51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 wrapText="1"/>
    </xf>
    <xf numFmtId="0" fontId="22" fillId="6" borderId="87" xfId="0" applyFont="1" applyFill="1" applyBorder="1" applyAlignment="1" applyProtection="1">
      <alignment horizontal="center" vertical="center" wrapText="1"/>
      <protection locked="0"/>
    </xf>
    <xf numFmtId="0" fontId="22" fillId="6" borderId="85" xfId="0" applyFont="1" applyFill="1" applyBorder="1" applyAlignment="1" applyProtection="1">
      <alignment horizontal="center" vertical="center" wrapText="1"/>
      <protection locked="0"/>
    </xf>
    <xf numFmtId="0" fontId="22" fillId="6" borderId="86" xfId="0" applyFont="1" applyFill="1" applyBorder="1" applyAlignment="1" applyProtection="1">
      <alignment horizontal="center" vertical="center" wrapText="1"/>
      <protection locked="0"/>
    </xf>
    <xf numFmtId="0" fontId="22" fillId="6" borderId="78" xfId="0" applyFont="1" applyFill="1" applyBorder="1" applyAlignment="1" applyProtection="1">
      <alignment horizontal="center" vertical="center" wrapText="1"/>
      <protection locked="0"/>
    </xf>
    <xf numFmtId="0" fontId="22" fillId="6" borderId="72" xfId="0" applyFont="1" applyFill="1" applyBorder="1" applyAlignment="1" applyProtection="1">
      <alignment horizontal="center" vertical="center" wrapText="1"/>
      <protection locked="0"/>
    </xf>
    <xf numFmtId="0" fontId="22" fillId="6" borderId="73" xfId="0" applyFont="1" applyFill="1" applyBorder="1" applyAlignment="1" applyProtection="1">
      <alignment horizontal="center" vertical="center" wrapText="1"/>
      <protection locked="0"/>
    </xf>
  </cellXfs>
  <cellStyles count="31">
    <cellStyle name="Estilo 1" xfId="3" xr:uid="{00000000-0005-0000-0000-000000000000}"/>
    <cellStyle name="Estilo 1 10" xfId="13" xr:uid="{00000000-0005-0000-0000-000001000000}"/>
    <cellStyle name="Estilo 1 10 2" xfId="27" xr:uid="{00000000-0005-0000-0000-000002000000}"/>
    <cellStyle name="Estilo 1 11" xfId="14" xr:uid="{00000000-0005-0000-0000-000003000000}"/>
    <cellStyle name="Estilo 1 11 2" xfId="28" xr:uid="{00000000-0005-0000-0000-000004000000}"/>
    <cellStyle name="Estilo 1 12" xfId="15" xr:uid="{00000000-0005-0000-0000-000005000000}"/>
    <cellStyle name="Estilo 1 12 2" xfId="29" xr:uid="{00000000-0005-0000-0000-000006000000}"/>
    <cellStyle name="Estilo 1 13" xfId="16" xr:uid="{00000000-0005-0000-0000-000007000000}"/>
    <cellStyle name="Estilo 1 13 2" xfId="30" xr:uid="{00000000-0005-0000-0000-000008000000}"/>
    <cellStyle name="Estilo 1 14" xfId="17" xr:uid="{00000000-0005-0000-0000-000009000000}"/>
    <cellStyle name="Estilo 1 2" xfId="4" xr:uid="{00000000-0005-0000-0000-00000A000000}"/>
    <cellStyle name="Estilo 1 2 2" xfId="18" xr:uid="{00000000-0005-0000-0000-00000B000000}"/>
    <cellStyle name="Estilo 1 3" xfId="5" xr:uid="{00000000-0005-0000-0000-00000C000000}"/>
    <cellStyle name="Estilo 1 3 2" xfId="19" xr:uid="{00000000-0005-0000-0000-00000D000000}"/>
    <cellStyle name="Estilo 1 4" xfId="6" xr:uid="{00000000-0005-0000-0000-00000E000000}"/>
    <cellStyle name="Estilo 1 4 2" xfId="20" xr:uid="{00000000-0005-0000-0000-00000F000000}"/>
    <cellStyle name="Estilo 1 5" xfId="7" xr:uid="{00000000-0005-0000-0000-000010000000}"/>
    <cellStyle name="Estilo 1 5 2" xfId="21" xr:uid="{00000000-0005-0000-0000-000011000000}"/>
    <cellStyle name="Estilo 1 6" xfId="8" xr:uid="{00000000-0005-0000-0000-000012000000}"/>
    <cellStyle name="Estilo 1 6 2" xfId="22" xr:uid="{00000000-0005-0000-0000-000013000000}"/>
    <cellStyle name="Estilo 1 7" xfId="10" xr:uid="{00000000-0005-0000-0000-000014000000}"/>
    <cellStyle name="Estilo 1 7 2" xfId="24" xr:uid="{00000000-0005-0000-0000-000015000000}"/>
    <cellStyle name="Estilo 1 8" xfId="11" xr:uid="{00000000-0005-0000-0000-000016000000}"/>
    <cellStyle name="Estilo 1 8 2" xfId="25" xr:uid="{00000000-0005-0000-0000-000017000000}"/>
    <cellStyle name="Estilo 1 9" xfId="12" xr:uid="{00000000-0005-0000-0000-000018000000}"/>
    <cellStyle name="Estilo 1 9 2" xfId="26" xr:uid="{00000000-0005-0000-0000-000019000000}"/>
    <cellStyle name="Hipervínculo" xfId="1" builtinId="8"/>
    <cellStyle name="Millares 2" xfId="9" xr:uid="{00000000-0005-0000-0000-00001B000000}"/>
    <cellStyle name="Millares 2 2" xfId="23" xr:uid="{00000000-0005-0000-0000-00001C000000}"/>
    <cellStyle name="Moneda 2" xfId="2" xr:uid="{00000000-0005-0000-0000-00001D000000}"/>
    <cellStyle name="Normal" xfId="0" builtinId="0"/>
  </cellStyles>
  <dxfs count="45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F9FBFA"/>
      <color rgb="FFEAEAE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F4DA2.108472B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666749</xdr:colOff>
      <xdr:row>2</xdr:row>
      <xdr:rowOff>95248</xdr:rowOff>
    </xdr:from>
    <xdr:to>
      <xdr:col>9</xdr:col>
      <xdr:colOff>1170213</xdr:colOff>
      <xdr:row>5</xdr:row>
      <xdr:rowOff>122463</xdr:rowOff>
    </xdr:to>
    <xdr:sp macro="" textlink="">
      <xdr:nvSpPr>
        <xdr:cNvPr id="2" name="Word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33849" y="371473"/>
          <a:ext cx="9209314" cy="59871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Tiempos Perdidos Tapa</a:t>
          </a:r>
          <a:r>
            <a:rPr lang="es-CO" sz="3600" kern="10" spc="0" baseline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 Plastica </a:t>
          </a:r>
          <a:r>
            <a:rPr lang="es-CO" sz="36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Iberplast. </a:t>
          </a:r>
        </a:p>
      </xdr:txBody>
    </xdr:sp>
    <xdr:clientData/>
  </xdr:twoCellAnchor>
  <xdr:twoCellAnchor>
    <xdr:from>
      <xdr:col>0</xdr:col>
      <xdr:colOff>57151</xdr:colOff>
      <xdr:row>0</xdr:row>
      <xdr:rowOff>152400</xdr:rowOff>
    </xdr:from>
    <xdr:to>
      <xdr:col>2</xdr:col>
      <xdr:colOff>542925</xdr:colOff>
      <xdr:row>6</xdr:row>
      <xdr:rowOff>0</xdr:rowOff>
    </xdr:to>
    <xdr:pic>
      <xdr:nvPicPr>
        <xdr:cNvPr id="4" name="3 Imagen" descr="Descripción: iberplas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52400"/>
          <a:ext cx="2305049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28575</xdr:rowOff>
    </xdr:from>
    <xdr:to>
      <xdr:col>3</xdr:col>
      <xdr:colOff>142875</xdr:colOff>
      <xdr:row>1</xdr:row>
      <xdr:rowOff>247650</xdr:rowOff>
    </xdr:to>
    <xdr:pic>
      <xdr:nvPicPr>
        <xdr:cNvPr id="1025" name="1 Imagen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9589"/>
        <a:stretch>
          <a:fillRect/>
        </a:stretch>
      </xdr:blipFill>
      <xdr:spPr bwMode="auto">
        <a:xfrm>
          <a:off x="57150" y="28575"/>
          <a:ext cx="144780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4"/>
  <sheetViews>
    <sheetView showGridLines="0" showWhiteSpace="0" zoomScale="90" zoomScaleNormal="90" zoomScalePageLayoutView="90" workbookViewId="0">
      <selection activeCell="B10" sqref="B10:K41"/>
    </sheetView>
  </sheetViews>
  <sheetFormatPr baseColWidth="10" defaultRowHeight="15"/>
  <cols>
    <col min="1" max="1" width="15.7109375" bestFit="1" customWidth="1"/>
    <col min="2" max="8" width="11.5703125" bestFit="1" customWidth="1"/>
    <col min="9" max="9" width="11.5703125" customWidth="1"/>
    <col min="10" max="10" width="11.5703125" bestFit="1" customWidth="1"/>
  </cols>
  <sheetData>
    <row r="1" spans="1:12">
      <c r="A1" s="21"/>
      <c r="B1" s="21"/>
      <c r="C1" s="21"/>
      <c r="D1" s="21"/>
      <c r="E1" s="21"/>
      <c r="F1" s="21"/>
      <c r="G1" s="21"/>
      <c r="H1" s="21"/>
      <c r="I1" s="21"/>
      <c r="J1" s="21"/>
    </row>
    <row r="2" spans="1:12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2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2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2">
      <c r="A5" s="21"/>
      <c r="C5" s="21"/>
      <c r="D5" s="21"/>
      <c r="E5" s="21"/>
      <c r="F5" s="21"/>
      <c r="G5" s="21"/>
      <c r="H5" s="21"/>
      <c r="I5" s="21"/>
      <c r="J5" s="21"/>
    </row>
    <row r="6" spans="1:12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2" ht="15.75" thickBot="1">
      <c r="A7" s="27"/>
      <c r="B7" s="27"/>
      <c r="C7" s="27"/>
      <c r="D7" s="27"/>
      <c r="E7" s="27"/>
      <c r="F7" s="27"/>
      <c r="G7" s="27"/>
      <c r="H7" s="28"/>
      <c r="I7" s="28"/>
      <c r="J7" s="28"/>
    </row>
    <row r="8" spans="1:12" ht="15.75" thickTop="1">
      <c r="A8" s="122" t="s">
        <v>9</v>
      </c>
      <c r="B8" s="120" t="s">
        <v>10</v>
      </c>
      <c r="C8" s="120" t="s">
        <v>11</v>
      </c>
      <c r="D8" s="120" t="s">
        <v>12</v>
      </c>
      <c r="E8" s="120" t="s">
        <v>13</v>
      </c>
      <c r="F8" s="120" t="s">
        <v>14</v>
      </c>
      <c r="G8" s="120" t="s">
        <v>27</v>
      </c>
      <c r="H8" s="120" t="s">
        <v>28</v>
      </c>
      <c r="I8" s="120" t="s">
        <v>29</v>
      </c>
      <c r="J8" s="120" t="s">
        <v>15</v>
      </c>
      <c r="K8" s="118" t="s">
        <v>16</v>
      </c>
      <c r="L8" s="118" t="s">
        <v>26</v>
      </c>
    </row>
    <row r="9" spans="1:12" ht="15.75" thickBot="1">
      <c r="A9" s="123"/>
      <c r="B9" s="121"/>
      <c r="C9" s="121"/>
      <c r="D9" s="121"/>
      <c r="E9" s="121"/>
      <c r="F9" s="121"/>
      <c r="G9" s="121"/>
      <c r="H9" s="121"/>
      <c r="I9" s="121" t="s">
        <v>29</v>
      </c>
      <c r="J9" s="121"/>
      <c r="K9" s="119"/>
      <c r="L9" s="119"/>
    </row>
    <row r="10" spans="1:12" ht="15.75" thickTop="1">
      <c r="A10" s="29">
        <v>46171</v>
      </c>
      <c r="B10" s="63">
        <v>0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</row>
    <row r="11" spans="1:12">
      <c r="A11" s="29">
        <v>46172</v>
      </c>
      <c r="B11" s="63">
        <v>0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40">
        <f>SUM(B11:K11)</f>
        <v>0</v>
      </c>
    </row>
    <row r="12" spans="1:12">
      <c r="A12" s="29">
        <v>46173</v>
      </c>
      <c r="B12" s="63">
        <v>0</v>
      </c>
      <c r="C12" s="63">
        <v>0</v>
      </c>
      <c r="D12" s="63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40">
        <f>SUM(B12:K12)</f>
        <v>0</v>
      </c>
    </row>
    <row r="13" spans="1:12">
      <c r="A13" s="29">
        <v>46174</v>
      </c>
      <c r="B13" s="63">
        <v>0</v>
      </c>
      <c r="C13" s="63">
        <v>160</v>
      </c>
      <c r="D13" s="63">
        <v>200</v>
      </c>
      <c r="E13" s="63">
        <v>0</v>
      </c>
      <c r="F13" s="63">
        <v>120</v>
      </c>
      <c r="G13" s="63">
        <v>0</v>
      </c>
      <c r="H13" s="63">
        <v>480</v>
      </c>
      <c r="I13" s="63">
        <v>0</v>
      </c>
      <c r="J13" s="63">
        <v>0</v>
      </c>
      <c r="K13" s="63">
        <v>0</v>
      </c>
      <c r="L13" s="40">
        <f>SUM(B13:K13)</f>
        <v>960</v>
      </c>
    </row>
    <row r="14" spans="1:12">
      <c r="A14" s="29">
        <v>46175</v>
      </c>
      <c r="B14" s="63">
        <v>0</v>
      </c>
      <c r="C14" s="63">
        <v>30</v>
      </c>
      <c r="D14" s="63">
        <v>740</v>
      </c>
      <c r="E14" s="63">
        <v>0</v>
      </c>
      <c r="F14" s="63">
        <v>780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40">
        <f>SUM(B14:K14)</f>
        <v>1550</v>
      </c>
    </row>
    <row r="15" spans="1:12">
      <c r="A15" s="29">
        <v>46176</v>
      </c>
      <c r="B15" s="63">
        <v>0</v>
      </c>
      <c r="C15" s="63">
        <v>300</v>
      </c>
      <c r="D15" s="63">
        <v>670</v>
      </c>
      <c r="E15" s="63">
        <v>0</v>
      </c>
      <c r="F15" s="63">
        <v>0</v>
      </c>
      <c r="G15" s="63">
        <v>680</v>
      </c>
      <c r="H15" s="63">
        <v>0</v>
      </c>
      <c r="I15" s="63">
        <v>0</v>
      </c>
      <c r="J15" s="63">
        <v>0</v>
      </c>
      <c r="K15" s="63">
        <v>0</v>
      </c>
      <c r="L15" s="40">
        <f t="shared" ref="L15:L42" si="0">SUM(B15:K15)</f>
        <v>1650</v>
      </c>
    </row>
    <row r="16" spans="1:12">
      <c r="A16" s="29">
        <v>46177</v>
      </c>
      <c r="B16" s="63">
        <v>25</v>
      </c>
      <c r="C16" s="63">
        <v>0</v>
      </c>
      <c r="D16" s="63">
        <v>380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40">
        <f t="shared" si="0"/>
        <v>405</v>
      </c>
    </row>
    <row r="17" spans="1:12">
      <c r="A17" s="29">
        <v>46178</v>
      </c>
      <c r="B17" s="63">
        <v>120</v>
      </c>
      <c r="C17" s="63">
        <v>0</v>
      </c>
      <c r="D17" s="63">
        <v>0</v>
      </c>
      <c r="E17" s="63">
        <v>0</v>
      </c>
      <c r="F17" s="63">
        <v>0</v>
      </c>
      <c r="G17" s="63">
        <v>180</v>
      </c>
      <c r="H17" s="63">
        <v>0</v>
      </c>
      <c r="I17" s="63">
        <v>0</v>
      </c>
      <c r="J17" s="63">
        <v>0</v>
      </c>
      <c r="K17" s="63">
        <v>0</v>
      </c>
      <c r="L17" s="40">
        <f t="shared" si="0"/>
        <v>300</v>
      </c>
    </row>
    <row r="18" spans="1:12">
      <c r="A18" s="29">
        <v>46179</v>
      </c>
      <c r="B18" s="63">
        <v>300</v>
      </c>
      <c r="C18" s="63">
        <v>150</v>
      </c>
      <c r="D18" s="63">
        <v>60</v>
      </c>
      <c r="E18" s="63">
        <v>0</v>
      </c>
      <c r="F18" s="63">
        <v>0</v>
      </c>
      <c r="G18" s="63">
        <v>360</v>
      </c>
      <c r="H18" s="63">
        <v>0</v>
      </c>
      <c r="I18" s="63">
        <v>0</v>
      </c>
      <c r="J18" s="63">
        <v>0</v>
      </c>
      <c r="K18" s="63">
        <v>0</v>
      </c>
      <c r="L18" s="40">
        <f t="shared" si="0"/>
        <v>870</v>
      </c>
    </row>
    <row r="19" spans="1:12">
      <c r="A19" s="29">
        <v>46180</v>
      </c>
      <c r="B19" s="63">
        <v>0</v>
      </c>
      <c r="C19" s="63">
        <v>265</v>
      </c>
      <c r="D19" s="63">
        <v>0</v>
      </c>
      <c r="E19" s="63">
        <v>0</v>
      </c>
      <c r="F19" s="63">
        <v>0</v>
      </c>
      <c r="G19" s="63">
        <v>180</v>
      </c>
      <c r="H19" s="63">
        <v>0</v>
      </c>
      <c r="I19" s="63">
        <v>0</v>
      </c>
      <c r="J19" s="63">
        <v>0</v>
      </c>
      <c r="K19" s="63">
        <v>0</v>
      </c>
      <c r="L19" s="40">
        <f t="shared" si="0"/>
        <v>445</v>
      </c>
    </row>
    <row r="20" spans="1:12">
      <c r="A20" s="29">
        <v>46181</v>
      </c>
      <c r="B20" s="63">
        <v>225</v>
      </c>
      <c r="C20" s="63">
        <v>0</v>
      </c>
      <c r="D20" s="63">
        <v>0</v>
      </c>
      <c r="E20" s="63">
        <v>0</v>
      </c>
      <c r="F20" s="63">
        <v>0</v>
      </c>
      <c r="G20" s="63">
        <v>0</v>
      </c>
      <c r="H20" s="63">
        <v>0</v>
      </c>
      <c r="I20" s="63">
        <v>150</v>
      </c>
      <c r="J20" s="63">
        <v>0</v>
      </c>
      <c r="K20" s="63">
        <v>0</v>
      </c>
      <c r="L20" s="40">
        <f t="shared" si="0"/>
        <v>375</v>
      </c>
    </row>
    <row r="21" spans="1:12">
      <c r="A21" s="29">
        <v>46182</v>
      </c>
      <c r="B21" s="63">
        <v>0</v>
      </c>
      <c r="C21" s="63">
        <v>70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40">
        <f t="shared" si="0"/>
        <v>70</v>
      </c>
    </row>
    <row r="22" spans="1:12">
      <c r="A22" s="29">
        <v>46183</v>
      </c>
      <c r="B22" s="63">
        <v>0</v>
      </c>
      <c r="C22" s="63">
        <v>0</v>
      </c>
      <c r="D22" s="63">
        <v>0</v>
      </c>
      <c r="E22" s="63">
        <v>30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63">
        <v>0</v>
      </c>
      <c r="L22" s="40">
        <f t="shared" si="0"/>
        <v>30</v>
      </c>
    </row>
    <row r="23" spans="1:12">
      <c r="A23" s="29">
        <v>46184</v>
      </c>
      <c r="B23" s="63">
        <v>0</v>
      </c>
      <c r="C23" s="63">
        <v>0</v>
      </c>
      <c r="D23" s="63">
        <v>0</v>
      </c>
      <c r="E23" s="63">
        <v>90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0</v>
      </c>
      <c r="L23" s="40">
        <f t="shared" si="0"/>
        <v>90</v>
      </c>
    </row>
    <row r="24" spans="1:12">
      <c r="A24" s="29">
        <v>46185</v>
      </c>
      <c r="B24" s="63">
        <v>0</v>
      </c>
      <c r="C24" s="63">
        <v>0</v>
      </c>
      <c r="D24" s="63">
        <v>0</v>
      </c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40">
        <f t="shared" si="0"/>
        <v>0</v>
      </c>
    </row>
    <row r="25" spans="1:12">
      <c r="A25" s="29">
        <v>46186</v>
      </c>
      <c r="B25" s="63">
        <v>0</v>
      </c>
      <c r="C25" s="63">
        <v>0</v>
      </c>
      <c r="D25" s="63">
        <v>0</v>
      </c>
      <c r="E25" s="63">
        <v>0</v>
      </c>
      <c r="F25" s="63">
        <v>495</v>
      </c>
      <c r="G25" s="63">
        <v>0</v>
      </c>
      <c r="H25" s="63">
        <v>0</v>
      </c>
      <c r="I25" s="63">
        <v>200</v>
      </c>
      <c r="J25" s="63">
        <v>0</v>
      </c>
      <c r="K25" s="63">
        <v>0</v>
      </c>
      <c r="L25" s="40">
        <f t="shared" si="0"/>
        <v>695</v>
      </c>
    </row>
    <row r="26" spans="1:12">
      <c r="A26" s="29">
        <v>46187</v>
      </c>
      <c r="B26" s="63">
        <v>0</v>
      </c>
      <c r="C26" s="63">
        <v>0</v>
      </c>
      <c r="D26" s="63">
        <v>0</v>
      </c>
      <c r="E26" s="63">
        <v>0</v>
      </c>
      <c r="F26" s="63">
        <v>0</v>
      </c>
      <c r="G26" s="63">
        <v>0</v>
      </c>
      <c r="H26" s="63">
        <v>0</v>
      </c>
      <c r="I26" s="63">
        <v>0</v>
      </c>
      <c r="J26" s="63">
        <v>0</v>
      </c>
      <c r="K26" s="63">
        <v>0</v>
      </c>
      <c r="L26" s="40">
        <f t="shared" si="0"/>
        <v>0</v>
      </c>
    </row>
    <row r="27" spans="1:12">
      <c r="A27" s="29">
        <v>46188</v>
      </c>
      <c r="B27" s="63">
        <v>310</v>
      </c>
      <c r="C27" s="63">
        <v>0</v>
      </c>
      <c r="D27" s="63">
        <v>0</v>
      </c>
      <c r="E27" s="63">
        <v>0</v>
      </c>
      <c r="F27" s="63">
        <v>0</v>
      </c>
      <c r="G27" s="63">
        <v>0</v>
      </c>
      <c r="H27" s="63">
        <v>0</v>
      </c>
      <c r="I27" s="63">
        <v>0</v>
      </c>
      <c r="J27" s="63">
        <v>0</v>
      </c>
      <c r="K27" s="63">
        <v>0</v>
      </c>
      <c r="L27" s="40">
        <f t="shared" si="0"/>
        <v>310</v>
      </c>
    </row>
    <row r="28" spans="1:12">
      <c r="A28" s="29">
        <v>46189</v>
      </c>
      <c r="B28" s="63">
        <v>0</v>
      </c>
      <c r="C28" s="63">
        <v>0</v>
      </c>
      <c r="D28" s="63">
        <v>0</v>
      </c>
      <c r="E28" s="63">
        <v>0</v>
      </c>
      <c r="F28" s="63">
        <v>0</v>
      </c>
      <c r="G28" s="63">
        <v>0</v>
      </c>
      <c r="H28" s="63">
        <v>0</v>
      </c>
      <c r="I28" s="63">
        <v>0</v>
      </c>
      <c r="J28" s="63">
        <v>0</v>
      </c>
      <c r="K28" s="63">
        <v>0</v>
      </c>
      <c r="L28" s="40">
        <f t="shared" si="0"/>
        <v>0</v>
      </c>
    </row>
    <row r="29" spans="1:12">
      <c r="A29" s="29">
        <v>46190</v>
      </c>
      <c r="B29" s="63">
        <v>0</v>
      </c>
      <c r="C29" s="63">
        <v>0</v>
      </c>
      <c r="D29" s="63">
        <v>0</v>
      </c>
      <c r="E29" s="63">
        <v>200</v>
      </c>
      <c r="F29" s="63">
        <v>0</v>
      </c>
      <c r="G29" s="63">
        <v>0</v>
      </c>
      <c r="H29" s="63">
        <v>0</v>
      </c>
      <c r="I29" s="63">
        <v>0</v>
      </c>
      <c r="J29" s="63">
        <v>0</v>
      </c>
      <c r="K29" s="63">
        <v>0</v>
      </c>
      <c r="L29" s="40">
        <f t="shared" si="0"/>
        <v>200</v>
      </c>
    </row>
    <row r="30" spans="1:12">
      <c r="A30" s="29">
        <v>46191</v>
      </c>
      <c r="B30" s="63">
        <v>0</v>
      </c>
      <c r="C30" s="63">
        <v>1105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40">
        <f t="shared" si="0"/>
        <v>1105</v>
      </c>
    </row>
    <row r="31" spans="1:12">
      <c r="A31" s="29">
        <v>46192</v>
      </c>
      <c r="B31" s="63">
        <v>0</v>
      </c>
      <c r="C31" s="63">
        <v>645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40">
        <f t="shared" si="0"/>
        <v>645</v>
      </c>
    </row>
    <row r="32" spans="1:12">
      <c r="A32" s="29">
        <v>46193</v>
      </c>
      <c r="B32" s="63">
        <v>240</v>
      </c>
      <c r="C32" s="63">
        <v>0</v>
      </c>
      <c r="D32" s="63">
        <v>60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40">
        <f t="shared" si="0"/>
        <v>300</v>
      </c>
    </row>
    <row r="33" spans="1:12">
      <c r="A33" s="29">
        <v>46194</v>
      </c>
      <c r="B33" s="63">
        <v>0</v>
      </c>
      <c r="C33" s="63">
        <v>757</v>
      </c>
      <c r="D33" s="63">
        <v>0</v>
      </c>
      <c r="E33" s="63">
        <v>0</v>
      </c>
      <c r="F33" s="63">
        <v>170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40">
        <f t="shared" si="0"/>
        <v>927</v>
      </c>
    </row>
    <row r="34" spans="1:12">
      <c r="A34" s="29">
        <v>46195</v>
      </c>
      <c r="B34" s="63">
        <v>0</v>
      </c>
      <c r="C34" s="63">
        <v>350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40">
        <f t="shared" si="0"/>
        <v>350</v>
      </c>
    </row>
    <row r="35" spans="1:12">
      <c r="A35" s="29">
        <v>46196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40">
        <f t="shared" si="0"/>
        <v>0</v>
      </c>
    </row>
    <row r="36" spans="1:12">
      <c r="A36" s="29">
        <v>46197</v>
      </c>
      <c r="B36" s="63">
        <v>0</v>
      </c>
      <c r="C36" s="63">
        <v>0</v>
      </c>
      <c r="D36" s="63">
        <v>0</v>
      </c>
      <c r="E36" s="63">
        <v>50</v>
      </c>
      <c r="F36" s="63">
        <v>0</v>
      </c>
      <c r="G36" s="63">
        <v>0</v>
      </c>
      <c r="H36" s="63">
        <v>0</v>
      </c>
      <c r="I36" s="63">
        <v>0</v>
      </c>
      <c r="J36" s="63">
        <v>0</v>
      </c>
      <c r="K36" s="63">
        <v>0</v>
      </c>
      <c r="L36" s="40">
        <f t="shared" si="0"/>
        <v>50</v>
      </c>
    </row>
    <row r="37" spans="1:12">
      <c r="A37" s="29">
        <v>46198</v>
      </c>
      <c r="B37" s="63">
        <v>20</v>
      </c>
      <c r="C37" s="63">
        <v>0</v>
      </c>
      <c r="D37" s="63">
        <v>0</v>
      </c>
      <c r="E37" s="63">
        <v>80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0</v>
      </c>
      <c r="L37" s="40">
        <f t="shared" si="0"/>
        <v>100</v>
      </c>
    </row>
    <row r="38" spans="1:12" ht="14.25" customHeight="1">
      <c r="A38" s="29">
        <v>46199</v>
      </c>
      <c r="B38" s="63">
        <v>0</v>
      </c>
      <c r="C38" s="63">
        <v>0</v>
      </c>
      <c r="D38" s="63">
        <v>0</v>
      </c>
      <c r="E38" s="63">
        <v>30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40">
        <f t="shared" si="0"/>
        <v>30</v>
      </c>
    </row>
    <row r="39" spans="1:12">
      <c r="A39" s="29">
        <v>46200</v>
      </c>
      <c r="B39" s="63">
        <v>0</v>
      </c>
      <c r="C39" s="63">
        <v>70</v>
      </c>
      <c r="D39" s="63">
        <v>0</v>
      </c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40">
        <f t="shared" si="0"/>
        <v>70</v>
      </c>
    </row>
    <row r="40" spans="1:12">
      <c r="A40" s="29">
        <v>46201</v>
      </c>
      <c r="B40" s="63">
        <v>0</v>
      </c>
      <c r="C40" s="63">
        <v>0</v>
      </c>
      <c r="D40" s="63">
        <v>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40">
        <f t="shared" si="0"/>
        <v>0</v>
      </c>
    </row>
    <row r="41" spans="1:12" ht="15.75" thickBot="1">
      <c r="A41" s="29">
        <v>46202</v>
      </c>
      <c r="B41" s="63">
        <v>0</v>
      </c>
      <c r="C41" s="63">
        <v>0</v>
      </c>
      <c r="D41" s="63">
        <v>0</v>
      </c>
      <c r="E41" s="63">
        <v>0</v>
      </c>
      <c r="F41" s="63">
        <v>0</v>
      </c>
      <c r="G41" s="63">
        <v>0</v>
      </c>
      <c r="H41" s="63">
        <v>120</v>
      </c>
      <c r="I41" s="63">
        <v>0</v>
      </c>
      <c r="J41" s="63">
        <v>0</v>
      </c>
      <c r="K41" s="63">
        <v>0</v>
      </c>
      <c r="L41" s="40">
        <f t="shared" si="0"/>
        <v>120</v>
      </c>
    </row>
    <row r="42" spans="1:12" ht="15.75" hidden="1" thickBot="1">
      <c r="A42" s="29">
        <v>46203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40">
        <f t="shared" si="0"/>
        <v>0</v>
      </c>
    </row>
    <row r="43" spans="1:12" ht="16.5" thickTop="1" thickBot="1">
      <c r="A43" s="30"/>
      <c r="B43" s="31">
        <f t="shared" ref="B43:K43" si="1">SUM(B10:B42)</f>
        <v>1240</v>
      </c>
      <c r="C43" s="31">
        <f t="shared" si="1"/>
        <v>3902</v>
      </c>
      <c r="D43" s="31">
        <f t="shared" si="1"/>
        <v>2110</v>
      </c>
      <c r="E43" s="31">
        <f t="shared" si="1"/>
        <v>480</v>
      </c>
      <c r="F43" s="31">
        <f t="shared" si="1"/>
        <v>1565</v>
      </c>
      <c r="G43" s="31">
        <f t="shared" si="1"/>
        <v>1400</v>
      </c>
      <c r="H43" s="31">
        <f t="shared" si="1"/>
        <v>600</v>
      </c>
      <c r="I43" s="31">
        <f t="shared" si="1"/>
        <v>350</v>
      </c>
      <c r="J43" s="31">
        <f t="shared" si="1"/>
        <v>0</v>
      </c>
      <c r="K43" s="31">
        <f t="shared" si="1"/>
        <v>0</v>
      </c>
      <c r="L43" s="33">
        <f>SUM(B43:K43)</f>
        <v>11647</v>
      </c>
    </row>
    <row r="44" spans="1:12" ht="15.75" thickTop="1"/>
  </sheetData>
  <mergeCells count="12">
    <mergeCell ref="L8:L9"/>
    <mergeCell ref="F8:F9"/>
    <mergeCell ref="A8:A9"/>
    <mergeCell ref="B8:B9"/>
    <mergeCell ref="C8:C9"/>
    <mergeCell ref="D8:D9"/>
    <mergeCell ref="E8:E9"/>
    <mergeCell ref="G8:G9"/>
    <mergeCell ref="J8:J9"/>
    <mergeCell ref="K8:K9"/>
    <mergeCell ref="H8:H9"/>
    <mergeCell ref="I8:I9"/>
  </mergeCells>
  <hyperlinks>
    <hyperlink ref="B8:B9" location="'Trabajos Realizados CCM1'!A1" display="CCM 01" xr:uid="{00000000-0004-0000-0000-000000000000}"/>
    <hyperlink ref="C8:C9" location="'Trabajos Realizados CCM2'!A1" display="CCM 02" xr:uid="{00000000-0004-0000-0000-000001000000}"/>
    <hyperlink ref="D8:D9" location="'Trabajos Realizados CCM3'!A1" display="CCM 03" xr:uid="{00000000-0004-0000-0000-000002000000}"/>
    <hyperlink ref="E8:E9" location="'Trabajos Realizados CCM64-1'!A1" display="CCM 04" xr:uid="{00000000-0004-0000-0000-000003000000}"/>
    <hyperlink ref="F8:F9" location="'Trabajos Realizados CCM64-2'!A1" display="CCM 05" xr:uid="{00000000-0004-0000-0000-000004000000}"/>
    <hyperlink ref="J8:J9" location="'Trabajos Realizados PMV 02'!A1" display="PMV 02" xr:uid="{00000000-0004-0000-0000-000005000000}"/>
    <hyperlink ref="K8:K9" location="'Trabajos Realizados PMV 04'!A1" display="PMV 04" xr:uid="{00000000-0004-0000-0000-000006000000}"/>
    <hyperlink ref="L27" location="'Trabajos Realizados PMV 04'!A1" display="'Trabajos Realizados PMV 04'!A1" xr:uid="{00000000-0004-0000-0000-000007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8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0"/>
  <sheetViews>
    <sheetView topLeftCell="A25" zoomScale="90" zoomScaleNormal="90" workbookViewId="0">
      <selection activeCell="A51" sqref="A51:XFD51"/>
    </sheetView>
  </sheetViews>
  <sheetFormatPr baseColWidth="10" defaultRowHeight="15"/>
  <cols>
    <col min="1" max="1" width="11.42578125" customWidth="1"/>
    <col min="2" max="2" width="8.85546875" bestFit="1" customWidth="1"/>
    <col min="3" max="3" width="12.42578125" customWidth="1"/>
    <col min="4" max="4" width="66.140625" bestFit="1" customWidth="1"/>
    <col min="7" max="7" width="12.28515625" bestFit="1" customWidth="1"/>
  </cols>
  <sheetData>
    <row r="1" spans="1:2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ht="15.75" thickBo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2" ht="48.75" thickTop="1" thickBot="1">
      <c r="A3" s="32"/>
      <c r="B3" s="34" t="s">
        <v>17</v>
      </c>
      <c r="C3" s="34" t="s">
        <v>21</v>
      </c>
      <c r="D3" s="35" t="s">
        <v>18</v>
      </c>
      <c r="E3" s="35" t="s">
        <v>19</v>
      </c>
      <c r="F3" s="34" t="s">
        <v>20</v>
      </c>
      <c r="G3" s="110" t="s">
        <v>22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2" ht="15.75" thickTop="1">
      <c r="A4" s="32"/>
      <c r="B4" s="91">
        <v>1</v>
      </c>
      <c r="C4" s="92" t="s">
        <v>35</v>
      </c>
      <c r="D4" s="93" t="s">
        <v>36</v>
      </c>
      <c r="E4" s="94">
        <v>310</v>
      </c>
      <c r="F4" s="95">
        <v>1</v>
      </c>
      <c r="G4" s="111">
        <f>SUM(E4:E10)</f>
        <v>1240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spans="1:22">
      <c r="A5" s="32"/>
      <c r="B5" s="96">
        <v>2</v>
      </c>
      <c r="C5" s="97" t="s">
        <v>35</v>
      </c>
      <c r="D5" s="100" t="s">
        <v>37</v>
      </c>
      <c r="E5" s="101">
        <v>300</v>
      </c>
      <c r="F5" s="102">
        <v>1</v>
      </c>
      <c r="G5" s="11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</row>
    <row r="6" spans="1:22">
      <c r="A6" s="32"/>
      <c r="B6" s="96">
        <v>3</v>
      </c>
      <c r="C6" s="97" t="s">
        <v>35</v>
      </c>
      <c r="D6" s="100" t="s">
        <v>38</v>
      </c>
      <c r="E6" s="101">
        <v>240</v>
      </c>
      <c r="F6" s="102">
        <v>1</v>
      </c>
      <c r="G6" s="11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</row>
    <row r="7" spans="1:22">
      <c r="A7" s="32"/>
      <c r="B7" s="96">
        <v>4</v>
      </c>
      <c r="C7" s="97" t="s">
        <v>35</v>
      </c>
      <c r="D7" s="100" t="s">
        <v>39</v>
      </c>
      <c r="E7" s="101">
        <v>225</v>
      </c>
      <c r="F7" s="102">
        <v>1</v>
      </c>
      <c r="G7" s="11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</row>
    <row r="8" spans="1:22">
      <c r="A8" s="32"/>
      <c r="B8" s="96">
        <v>5</v>
      </c>
      <c r="C8" s="97" t="s">
        <v>35</v>
      </c>
      <c r="D8" s="100" t="s">
        <v>40</v>
      </c>
      <c r="E8" s="101">
        <v>120</v>
      </c>
      <c r="F8" s="102">
        <v>1</v>
      </c>
      <c r="G8" s="11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</row>
    <row r="9" spans="1:22">
      <c r="A9" s="32"/>
      <c r="B9" s="96">
        <v>6</v>
      </c>
      <c r="C9" s="97" t="s">
        <v>35</v>
      </c>
      <c r="D9" s="100" t="s">
        <v>41</v>
      </c>
      <c r="E9" s="101">
        <v>25</v>
      </c>
      <c r="F9" s="102">
        <v>1</v>
      </c>
      <c r="G9" s="11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</row>
    <row r="10" spans="1:22">
      <c r="A10" s="32"/>
      <c r="B10" s="96">
        <v>7</v>
      </c>
      <c r="C10" s="97" t="s">
        <v>35</v>
      </c>
      <c r="D10" s="100" t="s">
        <v>42</v>
      </c>
      <c r="E10" s="101">
        <v>20</v>
      </c>
      <c r="F10" s="102">
        <v>1</v>
      </c>
      <c r="G10" s="11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</row>
    <row r="11" spans="1:22">
      <c r="A11" s="32"/>
      <c r="B11" s="96">
        <v>1</v>
      </c>
      <c r="C11" s="97" t="s">
        <v>43</v>
      </c>
      <c r="D11" s="100" t="s">
        <v>44</v>
      </c>
      <c r="E11" s="101">
        <v>1107</v>
      </c>
      <c r="F11" s="102">
        <v>2</v>
      </c>
      <c r="G11" s="112">
        <f>SUM(E11:E20)</f>
        <v>3902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</row>
    <row r="12" spans="1:22">
      <c r="A12" s="32"/>
      <c r="B12" s="96">
        <v>2</v>
      </c>
      <c r="C12" s="97" t="s">
        <v>43</v>
      </c>
      <c r="D12" s="100" t="s">
        <v>45</v>
      </c>
      <c r="E12" s="101">
        <v>645</v>
      </c>
      <c r="F12" s="102">
        <v>1</v>
      </c>
      <c r="G12" s="11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</row>
    <row r="13" spans="1:22" ht="27">
      <c r="A13" s="32"/>
      <c r="B13" s="96">
        <v>3</v>
      </c>
      <c r="C13" s="97" t="s">
        <v>43</v>
      </c>
      <c r="D13" s="100" t="s">
        <v>46</v>
      </c>
      <c r="E13" s="101">
        <v>470</v>
      </c>
      <c r="F13" s="102">
        <v>1</v>
      </c>
      <c r="G13" s="11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</row>
    <row r="14" spans="1:22">
      <c r="A14" s="32"/>
      <c r="B14" s="96">
        <v>4</v>
      </c>
      <c r="C14" s="97" t="s">
        <v>43</v>
      </c>
      <c r="D14" s="100" t="s">
        <v>47</v>
      </c>
      <c r="E14" s="101">
        <v>415</v>
      </c>
      <c r="F14" s="102">
        <v>1</v>
      </c>
      <c r="G14" s="11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</row>
    <row r="15" spans="1:22">
      <c r="A15" s="32"/>
      <c r="B15" s="96">
        <v>5</v>
      </c>
      <c r="C15" s="97" t="s">
        <v>43</v>
      </c>
      <c r="D15" s="100" t="s">
        <v>48</v>
      </c>
      <c r="E15" s="101">
        <v>395</v>
      </c>
      <c r="F15" s="102">
        <v>1</v>
      </c>
      <c r="G15" s="11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</row>
    <row r="16" spans="1:22">
      <c r="A16" s="32"/>
      <c r="B16" s="96">
        <v>6</v>
      </c>
      <c r="C16" s="97" t="s">
        <v>43</v>
      </c>
      <c r="D16" s="100" t="s">
        <v>49</v>
      </c>
      <c r="E16" s="101">
        <v>330</v>
      </c>
      <c r="F16" s="102">
        <v>1</v>
      </c>
      <c r="G16" s="11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</row>
    <row r="17" spans="1:22" ht="27">
      <c r="A17" s="32"/>
      <c r="B17" s="96">
        <v>7</v>
      </c>
      <c r="C17" s="97" t="s">
        <v>43</v>
      </c>
      <c r="D17" s="100" t="s">
        <v>50</v>
      </c>
      <c r="E17" s="101">
        <v>240</v>
      </c>
      <c r="F17" s="102">
        <v>1</v>
      </c>
      <c r="G17" s="11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</row>
    <row r="18" spans="1:22" ht="27">
      <c r="A18" s="32"/>
      <c r="B18" s="96">
        <v>8</v>
      </c>
      <c r="C18" s="97" t="s">
        <v>43</v>
      </c>
      <c r="D18" s="100" t="s">
        <v>51</v>
      </c>
      <c r="E18" s="101">
        <v>160</v>
      </c>
      <c r="F18" s="102">
        <v>1</v>
      </c>
      <c r="G18" s="11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</row>
    <row r="19" spans="1:22">
      <c r="A19" s="32"/>
      <c r="B19" s="96">
        <v>9</v>
      </c>
      <c r="C19" s="97" t="s">
        <v>43</v>
      </c>
      <c r="D19" s="100" t="s">
        <v>52</v>
      </c>
      <c r="E19" s="101">
        <v>70</v>
      </c>
      <c r="F19" s="102">
        <v>1</v>
      </c>
      <c r="G19" s="11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</row>
    <row r="20" spans="1:22" ht="27">
      <c r="A20" s="32"/>
      <c r="B20" s="96">
        <v>10</v>
      </c>
      <c r="C20" s="97" t="s">
        <v>43</v>
      </c>
      <c r="D20" s="100" t="s">
        <v>53</v>
      </c>
      <c r="E20" s="101">
        <v>70</v>
      </c>
      <c r="F20" s="102">
        <v>1</v>
      </c>
      <c r="G20" s="11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</row>
    <row r="21" spans="1:22">
      <c r="A21" s="32"/>
      <c r="B21" s="96">
        <v>1</v>
      </c>
      <c r="C21" s="97" t="s">
        <v>54</v>
      </c>
      <c r="D21" s="100" t="s">
        <v>55</v>
      </c>
      <c r="E21" s="101">
        <v>480</v>
      </c>
      <c r="F21" s="102">
        <v>1</v>
      </c>
      <c r="G21" s="112">
        <f>SUM(E21:E30)</f>
        <v>2110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</row>
    <row r="22" spans="1:22" ht="27">
      <c r="A22" s="32"/>
      <c r="B22" s="96">
        <v>2</v>
      </c>
      <c r="C22" s="97" t="s">
        <v>54</v>
      </c>
      <c r="D22" s="100" t="s">
        <v>56</v>
      </c>
      <c r="E22" s="101">
        <v>450</v>
      </c>
      <c r="F22" s="102">
        <v>1</v>
      </c>
      <c r="G22" s="11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</row>
    <row r="23" spans="1:22">
      <c r="A23" s="32"/>
      <c r="B23" s="96">
        <v>3</v>
      </c>
      <c r="C23" s="97" t="s">
        <v>54</v>
      </c>
      <c r="D23" s="100" t="s">
        <v>57</v>
      </c>
      <c r="E23" s="101">
        <v>240</v>
      </c>
      <c r="F23" s="102">
        <v>1</v>
      </c>
      <c r="G23" s="11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</row>
    <row r="24" spans="1:22" ht="27">
      <c r="A24" s="32"/>
      <c r="B24" s="96">
        <v>4</v>
      </c>
      <c r="C24" s="97" t="s">
        <v>54</v>
      </c>
      <c r="D24" s="100" t="s">
        <v>58</v>
      </c>
      <c r="E24" s="101">
        <v>210</v>
      </c>
      <c r="F24" s="102">
        <v>1</v>
      </c>
      <c r="G24" s="11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</row>
    <row r="25" spans="1:22">
      <c r="A25" s="32"/>
      <c r="B25" s="96">
        <v>5</v>
      </c>
      <c r="C25" s="97" t="s">
        <v>54</v>
      </c>
      <c r="D25" s="100" t="s">
        <v>59</v>
      </c>
      <c r="E25" s="101">
        <v>200</v>
      </c>
      <c r="F25" s="102">
        <v>1</v>
      </c>
      <c r="G25" s="11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</row>
    <row r="26" spans="1:22">
      <c r="A26" s="32"/>
      <c r="B26" s="96">
        <v>6</v>
      </c>
      <c r="C26" s="97" t="s">
        <v>54</v>
      </c>
      <c r="D26" s="100" t="s">
        <v>60</v>
      </c>
      <c r="E26" s="101">
        <v>200</v>
      </c>
      <c r="F26" s="102">
        <v>1</v>
      </c>
      <c r="G26" s="11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</row>
    <row r="27" spans="1:22" ht="27">
      <c r="A27" s="32"/>
      <c r="B27" s="96">
        <v>7</v>
      </c>
      <c r="C27" s="97" t="s">
        <v>54</v>
      </c>
      <c r="D27" s="100" t="s">
        <v>61</v>
      </c>
      <c r="E27" s="101">
        <v>170</v>
      </c>
      <c r="F27" s="102">
        <v>1</v>
      </c>
      <c r="G27" s="11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</row>
    <row r="28" spans="1:22">
      <c r="A28" s="32"/>
      <c r="B28" s="96">
        <v>8</v>
      </c>
      <c r="C28" s="97" t="s">
        <v>54</v>
      </c>
      <c r="D28" s="100" t="s">
        <v>62</v>
      </c>
      <c r="E28" s="101">
        <v>60</v>
      </c>
      <c r="F28" s="102">
        <v>1</v>
      </c>
      <c r="G28" s="11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</row>
    <row r="29" spans="1:22">
      <c r="A29" s="32"/>
      <c r="B29" s="96">
        <v>9</v>
      </c>
      <c r="C29" s="97" t="s">
        <v>54</v>
      </c>
      <c r="D29" s="100" t="s">
        <v>63</v>
      </c>
      <c r="E29" s="101">
        <v>60</v>
      </c>
      <c r="F29" s="102">
        <v>1</v>
      </c>
      <c r="G29" s="11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</row>
    <row r="30" spans="1:22">
      <c r="A30" s="32"/>
      <c r="B30" s="96">
        <v>10</v>
      </c>
      <c r="C30" s="97" t="s">
        <v>54</v>
      </c>
      <c r="D30" s="100" t="s">
        <v>64</v>
      </c>
      <c r="E30" s="101">
        <v>40</v>
      </c>
      <c r="F30" s="102">
        <v>1</v>
      </c>
      <c r="G30" s="11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</row>
    <row r="31" spans="1:22">
      <c r="A31" s="32"/>
      <c r="B31" s="96">
        <v>1</v>
      </c>
      <c r="C31" s="97" t="s">
        <v>65</v>
      </c>
      <c r="D31" s="100" t="s">
        <v>66</v>
      </c>
      <c r="E31" s="101">
        <v>200</v>
      </c>
      <c r="F31" s="102">
        <v>1</v>
      </c>
      <c r="G31" s="112">
        <f>SUM(E31:E36)</f>
        <v>480</v>
      </c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</row>
    <row r="32" spans="1:22">
      <c r="A32" s="32"/>
      <c r="B32" s="96">
        <v>2</v>
      </c>
      <c r="C32" s="97" t="s">
        <v>65</v>
      </c>
      <c r="D32" s="100" t="s">
        <v>67</v>
      </c>
      <c r="E32" s="101">
        <v>120</v>
      </c>
      <c r="F32" s="102">
        <v>1</v>
      </c>
      <c r="G32" s="11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</row>
    <row r="33" spans="1:22" ht="15.75" hidden="1" thickTop="1">
      <c r="A33" s="32"/>
      <c r="B33" s="96">
        <v>3</v>
      </c>
      <c r="C33" s="97" t="s">
        <v>65</v>
      </c>
      <c r="D33" s="104" t="s">
        <v>68</v>
      </c>
      <c r="E33" s="98">
        <v>70</v>
      </c>
      <c r="F33" s="103">
        <v>1</v>
      </c>
      <c r="G33" s="99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</row>
    <row r="34" spans="1:22" ht="15.75" hidden="1" thickBot="1">
      <c r="A34" s="32"/>
      <c r="B34" s="77">
        <v>4</v>
      </c>
      <c r="C34" s="68" t="s">
        <v>65</v>
      </c>
      <c r="D34" s="71" t="s">
        <v>69</v>
      </c>
      <c r="E34" s="69">
        <v>50</v>
      </c>
      <c r="F34" s="70">
        <v>1</v>
      </c>
      <c r="G34" s="90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</row>
    <row r="35" spans="1:22" ht="27.75" hidden="1" thickTop="1">
      <c r="A35" s="32"/>
      <c r="B35" s="77">
        <v>5</v>
      </c>
      <c r="C35" s="68" t="s">
        <v>65</v>
      </c>
      <c r="D35" s="71" t="s">
        <v>70</v>
      </c>
      <c r="E35" s="69">
        <v>30</v>
      </c>
      <c r="F35" s="70">
        <v>1</v>
      </c>
      <c r="G35" s="88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</row>
    <row r="36" spans="1:22" hidden="1">
      <c r="A36" s="32"/>
      <c r="B36" s="77">
        <v>6</v>
      </c>
      <c r="C36" s="68" t="s">
        <v>65</v>
      </c>
      <c r="D36" s="71" t="s">
        <v>71</v>
      </c>
      <c r="E36" s="69">
        <v>10</v>
      </c>
      <c r="F36" s="70">
        <v>1</v>
      </c>
      <c r="G36" s="88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</row>
    <row r="37" spans="1:22" hidden="1">
      <c r="A37" s="32"/>
      <c r="B37" s="77">
        <v>1</v>
      </c>
      <c r="C37" s="68" t="s">
        <v>72</v>
      </c>
      <c r="D37" s="71" t="s">
        <v>73</v>
      </c>
      <c r="E37" s="69">
        <v>780</v>
      </c>
      <c r="F37" s="70">
        <v>1</v>
      </c>
      <c r="G37" s="89">
        <f>SUM(E37:E42)</f>
        <v>1565</v>
      </c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</row>
    <row r="38" spans="1:22" hidden="1">
      <c r="A38" s="32"/>
      <c r="B38" s="77">
        <v>2</v>
      </c>
      <c r="C38" s="78" t="s">
        <v>72</v>
      </c>
      <c r="D38" s="79" t="s">
        <v>74</v>
      </c>
      <c r="E38" s="80">
        <v>300</v>
      </c>
      <c r="F38" s="81">
        <v>1</v>
      </c>
      <c r="G38" s="124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</row>
    <row r="39" spans="1:22" ht="15.75" hidden="1" thickBot="1">
      <c r="A39" s="32"/>
      <c r="B39" s="72">
        <v>3</v>
      </c>
      <c r="C39" s="73" t="s">
        <v>72</v>
      </c>
      <c r="D39" s="74" t="s">
        <v>75</v>
      </c>
      <c r="E39" s="75">
        <v>195</v>
      </c>
      <c r="F39" s="76">
        <v>1</v>
      </c>
      <c r="G39" s="125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</row>
    <row r="40" spans="1:22" ht="15.75" thickBot="1">
      <c r="A40" s="32"/>
      <c r="B40" s="61">
        <v>4</v>
      </c>
      <c r="C40" s="61" t="s">
        <v>72</v>
      </c>
      <c r="D40" s="61" t="s">
        <v>76</v>
      </c>
      <c r="E40" s="61">
        <v>170</v>
      </c>
      <c r="F40" s="61">
        <v>1</v>
      </c>
      <c r="G40" s="61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</row>
    <row r="41" spans="1:22" ht="16.5" thickTop="1" thickBot="1">
      <c r="A41" s="32"/>
      <c r="B41" s="91">
        <v>5</v>
      </c>
      <c r="C41" s="92" t="s">
        <v>72</v>
      </c>
      <c r="D41" s="93" t="s">
        <v>77</v>
      </c>
      <c r="E41" s="94">
        <v>90</v>
      </c>
      <c r="F41" s="95">
        <v>1</v>
      </c>
      <c r="G41" s="111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</row>
    <row r="42" spans="1:22" ht="16.5" thickTop="1" thickBot="1">
      <c r="A42" s="32"/>
      <c r="B42" s="91">
        <v>6</v>
      </c>
      <c r="C42" s="92" t="s">
        <v>72</v>
      </c>
      <c r="D42" s="93" t="s">
        <v>78</v>
      </c>
      <c r="E42" s="94">
        <v>30</v>
      </c>
      <c r="F42" s="95">
        <v>1</v>
      </c>
      <c r="G42" s="11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</row>
    <row r="43" spans="1:22" ht="16.5" thickTop="1" thickBot="1">
      <c r="A43" s="32"/>
      <c r="B43" s="91">
        <v>1</v>
      </c>
      <c r="C43" s="92" t="s">
        <v>79</v>
      </c>
      <c r="D43" s="93" t="s">
        <v>80</v>
      </c>
      <c r="E43" s="94">
        <v>540</v>
      </c>
      <c r="F43" s="95">
        <v>1</v>
      </c>
      <c r="G43" s="111">
        <f>SUM(E43:E46)</f>
        <v>1400</v>
      </c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</row>
    <row r="44" spans="1:22" ht="16.5" thickTop="1" thickBot="1">
      <c r="A44" s="32"/>
      <c r="B44" s="91">
        <v>2</v>
      </c>
      <c r="C44" s="92" t="s">
        <v>79</v>
      </c>
      <c r="D44" s="93" t="s">
        <v>81</v>
      </c>
      <c r="E44" s="94">
        <v>480</v>
      </c>
      <c r="F44" s="95">
        <v>1</v>
      </c>
      <c r="G44" s="111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</row>
    <row r="45" spans="1:22" ht="28.5" thickTop="1" thickBot="1">
      <c r="A45" s="32"/>
      <c r="B45" s="91">
        <v>3</v>
      </c>
      <c r="C45" s="92" t="s">
        <v>79</v>
      </c>
      <c r="D45" s="93" t="s">
        <v>82</v>
      </c>
      <c r="E45" s="94">
        <v>200</v>
      </c>
      <c r="F45" s="95">
        <v>1</v>
      </c>
      <c r="G45" s="111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</row>
    <row r="46" spans="1:22" ht="16.5" thickTop="1" thickBot="1">
      <c r="A46" s="32"/>
      <c r="B46" s="91">
        <v>4</v>
      </c>
      <c r="C46" s="92" t="s">
        <v>79</v>
      </c>
      <c r="D46" s="93" t="s">
        <v>83</v>
      </c>
      <c r="E46" s="94">
        <v>180</v>
      </c>
      <c r="F46" s="95">
        <v>1</v>
      </c>
      <c r="G46" s="111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</row>
    <row r="47" spans="1:22" ht="16.5" thickTop="1" thickBot="1">
      <c r="A47" s="32"/>
      <c r="B47" s="91">
        <v>1</v>
      </c>
      <c r="C47" s="92" t="s">
        <v>28</v>
      </c>
      <c r="D47" s="93" t="s">
        <v>84</v>
      </c>
      <c r="E47" s="94">
        <v>480</v>
      </c>
      <c r="F47" s="95">
        <v>1</v>
      </c>
      <c r="G47" s="111">
        <f>SUM(E47:E48)</f>
        <v>600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</row>
    <row r="48" spans="1:22" ht="16.5" thickTop="1" thickBot="1">
      <c r="A48" s="32"/>
      <c r="B48" s="91">
        <v>2</v>
      </c>
      <c r="C48" s="92" t="s">
        <v>28</v>
      </c>
      <c r="D48" s="93" t="s">
        <v>85</v>
      </c>
      <c r="E48" s="94">
        <v>120</v>
      </c>
      <c r="F48" s="95">
        <v>1</v>
      </c>
      <c r="G48" s="111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</row>
    <row r="49" spans="1:24" ht="16.5" thickTop="1" thickBot="1">
      <c r="A49" s="32"/>
      <c r="B49" s="91">
        <v>1</v>
      </c>
      <c r="C49" s="92" t="s">
        <v>29</v>
      </c>
      <c r="D49" s="93" t="s">
        <v>86</v>
      </c>
      <c r="E49" s="94">
        <v>200</v>
      </c>
      <c r="F49" s="95">
        <v>1</v>
      </c>
      <c r="G49" s="111">
        <f>SUM(E49:E51)</f>
        <v>350</v>
      </c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</row>
    <row r="50" spans="1:24" ht="16.5" thickTop="1" thickBot="1">
      <c r="A50" s="32"/>
      <c r="B50" s="91">
        <v>2</v>
      </c>
      <c r="C50" s="92" t="s">
        <v>29</v>
      </c>
      <c r="D50" s="93" t="s">
        <v>87</v>
      </c>
      <c r="E50" s="94">
        <v>75</v>
      </c>
      <c r="F50" s="95">
        <v>1</v>
      </c>
      <c r="G50" s="111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</row>
    <row r="51" spans="1:24" ht="16.5" thickTop="1" thickBot="1">
      <c r="A51" s="32"/>
      <c r="B51" s="91">
        <v>3</v>
      </c>
      <c r="C51" s="92" t="s">
        <v>29</v>
      </c>
      <c r="D51" s="93" t="s">
        <v>88</v>
      </c>
      <c r="E51" s="94">
        <v>75</v>
      </c>
      <c r="F51" s="95">
        <v>1</v>
      </c>
      <c r="G51" s="111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</row>
    <row r="52" spans="1:24" ht="18.75" thickTop="1" thickBot="1">
      <c r="A52" s="32"/>
      <c r="B52" s="32"/>
      <c r="C52" s="32"/>
      <c r="D52" s="37" t="s">
        <v>23</v>
      </c>
      <c r="E52" s="36">
        <f>SUM(E4:E51)</f>
        <v>11647</v>
      </c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</row>
    <row r="53" spans="1:24" ht="15.75" thickTop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>
      <c r="A89" s="32"/>
      <c r="H89" s="32"/>
      <c r="I89" s="32"/>
      <c r="J89" s="32"/>
      <c r="K89" s="32"/>
    </row>
    <row r="90" spans="1:24">
      <c r="A90" s="32"/>
      <c r="I90" s="32"/>
      <c r="J90" s="32"/>
      <c r="K90" s="32"/>
    </row>
  </sheetData>
  <protectedRanges>
    <protectedRange sqref="D4" name="Rango1_8_3"/>
    <protectedRange sqref="E4" name="Rango1_2_2"/>
  </protectedRanges>
  <sortState xmlns:xlrd2="http://schemas.microsoft.com/office/spreadsheetml/2017/richdata2" ref="B4:G40">
    <sortCondition ref="C4:C25"/>
    <sortCondition descending="1" ref="E4:E25"/>
  </sortState>
  <mergeCells count="1">
    <mergeCell ref="G38:G39"/>
  </mergeCells>
  <phoneticPr fontId="37" type="noConversion"/>
  <conditionalFormatting sqref="D33:D39">
    <cfRule type="expression" dxfId="44" priority="342" stopIfTrue="1">
      <formula>IF(#REF!=$D$1769,D33)</formula>
    </cfRule>
  </conditionalFormatting>
  <conditionalFormatting sqref="D4:D32">
    <cfRule type="expression" dxfId="43" priority="343" stopIfTrue="1">
      <formula>IF(A4=$F$1621,D4)</formula>
    </cfRule>
  </conditionalFormatting>
  <conditionalFormatting sqref="E4:E32">
    <cfRule type="expression" dxfId="42" priority="345" stopIfTrue="1">
      <formula>IF(XFD4=$F$1621,E4)</formula>
    </cfRule>
  </conditionalFormatting>
  <conditionalFormatting sqref="D41">
    <cfRule type="expression" dxfId="41" priority="21" stopIfTrue="1">
      <formula>IF(A41=$F$1621,D41)</formula>
    </cfRule>
  </conditionalFormatting>
  <conditionalFormatting sqref="E41">
    <cfRule type="expression" dxfId="40" priority="22" stopIfTrue="1">
      <formula>IF(XFD41=$F$1621,E41)</formula>
    </cfRule>
  </conditionalFormatting>
  <conditionalFormatting sqref="D42">
    <cfRule type="expression" dxfId="39" priority="19" stopIfTrue="1">
      <formula>IF(A42=$F$1621,D42)</formula>
    </cfRule>
  </conditionalFormatting>
  <conditionalFormatting sqref="E42">
    <cfRule type="expression" dxfId="38" priority="20" stopIfTrue="1">
      <formula>IF(XFD42=$F$1621,E42)</formula>
    </cfRule>
  </conditionalFormatting>
  <conditionalFormatting sqref="D43">
    <cfRule type="expression" dxfId="37" priority="17" stopIfTrue="1">
      <formula>IF(A43=$F$1621,D43)</formula>
    </cfRule>
  </conditionalFormatting>
  <conditionalFormatting sqref="E43">
    <cfRule type="expression" dxfId="36" priority="18" stopIfTrue="1">
      <formula>IF(XFD43=$F$1621,E43)</formula>
    </cfRule>
  </conditionalFormatting>
  <conditionalFormatting sqref="D44">
    <cfRule type="expression" dxfId="35" priority="15" stopIfTrue="1">
      <formula>IF(A44=$F$1621,D44)</formula>
    </cfRule>
  </conditionalFormatting>
  <conditionalFormatting sqref="E44">
    <cfRule type="expression" dxfId="34" priority="16" stopIfTrue="1">
      <formula>IF(XFD44=$F$1621,E44)</formula>
    </cfRule>
  </conditionalFormatting>
  <conditionalFormatting sqref="D45">
    <cfRule type="expression" dxfId="33" priority="13" stopIfTrue="1">
      <formula>IF(A45=$F$1621,D45)</formula>
    </cfRule>
  </conditionalFormatting>
  <conditionalFormatting sqref="E45">
    <cfRule type="expression" dxfId="32" priority="14" stopIfTrue="1">
      <formula>IF(XFD45=$F$1621,E45)</formula>
    </cfRule>
  </conditionalFormatting>
  <conditionalFormatting sqref="D46">
    <cfRule type="expression" dxfId="31" priority="11" stopIfTrue="1">
      <formula>IF(A46=$F$1621,D46)</formula>
    </cfRule>
  </conditionalFormatting>
  <conditionalFormatting sqref="E46">
    <cfRule type="expression" dxfId="30" priority="12" stopIfTrue="1">
      <formula>IF(XFD46=$F$1621,E46)</formula>
    </cfRule>
  </conditionalFormatting>
  <conditionalFormatting sqref="D47">
    <cfRule type="expression" dxfId="29" priority="9" stopIfTrue="1">
      <formula>IF(A47=$F$1621,D47)</formula>
    </cfRule>
  </conditionalFormatting>
  <conditionalFormatting sqref="E47">
    <cfRule type="expression" dxfId="28" priority="10" stopIfTrue="1">
      <formula>IF(XFD47=$F$1621,E47)</formula>
    </cfRule>
  </conditionalFormatting>
  <conditionalFormatting sqref="D48">
    <cfRule type="expression" dxfId="27" priority="7" stopIfTrue="1">
      <formula>IF(A48=$F$1621,D48)</formula>
    </cfRule>
  </conditionalFormatting>
  <conditionalFormatting sqref="E48">
    <cfRule type="expression" dxfId="26" priority="8" stopIfTrue="1">
      <formula>IF(XFD48=$F$1621,E48)</formula>
    </cfRule>
  </conditionalFormatting>
  <conditionalFormatting sqref="D49">
    <cfRule type="expression" dxfId="25" priority="5" stopIfTrue="1">
      <formula>IF(A49=$F$1621,D49)</formula>
    </cfRule>
  </conditionalFormatting>
  <conditionalFormatting sqref="E49">
    <cfRule type="expression" dxfId="24" priority="6" stopIfTrue="1">
      <formula>IF(XFD49=$F$1621,E49)</formula>
    </cfRule>
  </conditionalFormatting>
  <conditionalFormatting sqref="D50">
    <cfRule type="expression" dxfId="23" priority="3" stopIfTrue="1">
      <formula>IF(A50=$F$1621,D50)</formula>
    </cfRule>
  </conditionalFormatting>
  <conditionalFormatting sqref="E50">
    <cfRule type="expression" dxfId="22" priority="4" stopIfTrue="1">
      <formula>IF(XFD50=$F$1621,E50)</formula>
    </cfRule>
  </conditionalFormatting>
  <conditionalFormatting sqref="D51">
    <cfRule type="expression" dxfId="21" priority="1" stopIfTrue="1">
      <formula>IF(A51=$F$1621,D51)</formula>
    </cfRule>
  </conditionalFormatting>
  <conditionalFormatting sqref="E51">
    <cfRule type="expression" dxfId="20" priority="2" stopIfTrue="1">
      <formula>IF(XFD51=$F$1621,E51)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86"/>
  <sheetViews>
    <sheetView tabSelected="1" zoomScale="90" zoomScaleNormal="90" workbookViewId="0">
      <selection activeCell="A51" sqref="A51:XFD51"/>
    </sheetView>
  </sheetViews>
  <sheetFormatPr baseColWidth="10" defaultRowHeight="15"/>
  <cols>
    <col min="2" max="2" width="6" customWidth="1"/>
    <col min="3" max="3" width="9" customWidth="1"/>
    <col min="4" max="4" width="8.85546875" bestFit="1" customWidth="1"/>
    <col min="5" max="5" width="11" bestFit="1" customWidth="1"/>
    <col min="6" max="6" width="66.5703125" customWidth="1"/>
    <col min="8" max="8" width="8.7109375" bestFit="1" customWidth="1"/>
    <col min="9" max="9" width="7" customWidth="1"/>
    <col min="10" max="10" width="13.140625" bestFit="1" customWidth="1"/>
  </cols>
  <sheetData>
    <row r="1" spans="1:23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ht="15.75" thickBo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ht="48.75" thickTop="1" thickBot="1">
      <c r="A3" s="32"/>
      <c r="B3" s="32"/>
      <c r="C3" s="32"/>
      <c r="D3" s="34" t="s">
        <v>17</v>
      </c>
      <c r="E3" s="34" t="s">
        <v>21</v>
      </c>
      <c r="F3" s="35" t="s">
        <v>18</v>
      </c>
      <c r="G3" s="35" t="s">
        <v>19</v>
      </c>
      <c r="H3" s="34" t="s">
        <v>20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ht="15.75" thickTop="1">
      <c r="A4" s="32"/>
      <c r="B4" s="32"/>
      <c r="C4" s="32"/>
      <c r="D4" s="113">
        <v>1</v>
      </c>
      <c r="E4" s="114" t="s">
        <v>43</v>
      </c>
      <c r="F4" s="115" t="s">
        <v>44</v>
      </c>
      <c r="G4" s="116">
        <v>1107</v>
      </c>
      <c r="H4" s="117">
        <v>2</v>
      </c>
      <c r="I4" s="32"/>
      <c r="J4" s="126" t="s">
        <v>89</v>
      </c>
      <c r="K4" s="127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ht="15.75">
      <c r="A5" s="32"/>
      <c r="B5" s="32"/>
      <c r="C5" s="32"/>
      <c r="D5" s="82">
        <v>2</v>
      </c>
      <c r="E5" s="64" t="s">
        <v>72</v>
      </c>
      <c r="F5" s="65" t="s">
        <v>73</v>
      </c>
      <c r="G5" s="66">
        <v>780</v>
      </c>
      <c r="H5" s="67">
        <v>1</v>
      </c>
      <c r="I5" s="32"/>
      <c r="J5" s="38" t="s">
        <v>25</v>
      </c>
      <c r="K5" s="43">
        <f>COUNTA(D4:D51)*20%</f>
        <v>9.6000000000000014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ht="16.5" thickBot="1">
      <c r="A6" s="32"/>
      <c r="B6" s="32"/>
      <c r="C6" s="32"/>
      <c r="D6" s="82">
        <v>3</v>
      </c>
      <c r="E6" s="64" t="s">
        <v>43</v>
      </c>
      <c r="F6" s="65" t="s">
        <v>45</v>
      </c>
      <c r="G6" s="66">
        <v>645</v>
      </c>
      <c r="H6" s="67">
        <v>1</v>
      </c>
      <c r="I6" s="32"/>
      <c r="J6" s="39" t="s">
        <v>24</v>
      </c>
      <c r="K6" s="41">
        <f>G52*80%</f>
        <v>9317.6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.75" thickTop="1">
      <c r="A7" s="32"/>
      <c r="B7" s="32"/>
      <c r="C7" s="32"/>
      <c r="D7" s="82">
        <v>4</v>
      </c>
      <c r="E7" s="64" t="s">
        <v>79</v>
      </c>
      <c r="F7" s="65" t="s">
        <v>80</v>
      </c>
      <c r="G7" s="66">
        <v>540</v>
      </c>
      <c r="H7" s="67">
        <v>1</v>
      </c>
      <c r="I7" s="32"/>
      <c r="J7" s="128"/>
      <c r="K7" s="128"/>
      <c r="L7" s="128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</row>
    <row r="8" spans="1:23">
      <c r="A8" s="32"/>
      <c r="B8" s="32"/>
      <c r="C8" s="32"/>
      <c r="D8" s="82">
        <v>5</v>
      </c>
      <c r="E8" s="64" t="s">
        <v>54</v>
      </c>
      <c r="F8" s="65" t="s">
        <v>55</v>
      </c>
      <c r="G8" s="66">
        <v>480</v>
      </c>
      <c r="H8" s="67">
        <v>1</v>
      </c>
      <c r="I8" s="32"/>
      <c r="J8" s="128"/>
      <c r="K8" s="128"/>
      <c r="L8" s="128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</row>
    <row r="9" spans="1:23">
      <c r="A9" s="32"/>
      <c r="B9" s="32"/>
      <c r="C9" s="32"/>
      <c r="D9" s="82">
        <v>6</v>
      </c>
      <c r="E9" s="64" t="s">
        <v>79</v>
      </c>
      <c r="F9" s="65" t="s">
        <v>81</v>
      </c>
      <c r="G9" s="66">
        <v>480</v>
      </c>
      <c r="H9" s="67">
        <v>1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</row>
    <row r="10" spans="1:23">
      <c r="A10" s="32"/>
      <c r="B10" s="32"/>
      <c r="C10" s="32"/>
      <c r="D10" s="105">
        <v>7</v>
      </c>
      <c r="E10" s="106" t="s">
        <v>28</v>
      </c>
      <c r="F10" s="107" t="s">
        <v>84</v>
      </c>
      <c r="G10" s="108">
        <v>480</v>
      </c>
      <c r="H10" s="109">
        <v>1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</row>
    <row r="11" spans="1:23" ht="25.5">
      <c r="A11" s="32"/>
      <c r="B11" s="32"/>
      <c r="C11" s="32"/>
      <c r="D11" s="105">
        <v>8</v>
      </c>
      <c r="E11" s="106" t="s">
        <v>43</v>
      </c>
      <c r="F11" s="107" t="s">
        <v>46</v>
      </c>
      <c r="G11" s="108">
        <v>470</v>
      </c>
      <c r="H11" s="109">
        <v>1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</row>
    <row r="12" spans="1:23" ht="25.5">
      <c r="A12" s="32"/>
      <c r="B12" s="32"/>
      <c r="C12" s="32"/>
      <c r="D12" s="105">
        <v>9</v>
      </c>
      <c r="E12" s="106" t="s">
        <v>54</v>
      </c>
      <c r="F12" s="107" t="s">
        <v>56</v>
      </c>
      <c r="G12" s="108">
        <v>450</v>
      </c>
      <c r="H12" s="109">
        <v>1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</row>
    <row r="13" spans="1:23">
      <c r="A13" s="32"/>
      <c r="B13" s="32"/>
      <c r="C13" s="32"/>
      <c r="D13" s="105">
        <v>10</v>
      </c>
      <c r="E13" s="64" t="s">
        <v>43</v>
      </c>
      <c r="F13" s="65" t="s">
        <v>47</v>
      </c>
      <c r="G13" s="66">
        <v>415</v>
      </c>
      <c r="H13" s="67">
        <v>1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</row>
    <row r="14" spans="1:23">
      <c r="A14" s="32"/>
      <c r="B14" s="32"/>
      <c r="C14" s="32"/>
      <c r="D14" s="105">
        <v>11</v>
      </c>
      <c r="E14" s="64" t="s">
        <v>43</v>
      </c>
      <c r="F14" s="65" t="s">
        <v>48</v>
      </c>
      <c r="G14" s="66">
        <v>395</v>
      </c>
      <c r="H14" s="67">
        <v>1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</row>
    <row r="15" spans="1:23">
      <c r="A15" s="32"/>
      <c r="B15" s="32"/>
      <c r="C15" s="32"/>
      <c r="D15" s="105">
        <v>12</v>
      </c>
      <c r="E15" s="64" t="s">
        <v>43</v>
      </c>
      <c r="F15" s="65" t="s">
        <v>49</v>
      </c>
      <c r="G15" s="66">
        <v>330</v>
      </c>
      <c r="H15" s="67">
        <v>1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</row>
    <row r="16" spans="1:23">
      <c r="A16" s="32"/>
      <c r="B16" s="32"/>
      <c r="C16" s="32"/>
      <c r="D16" s="105">
        <v>13</v>
      </c>
      <c r="E16" s="64" t="s">
        <v>35</v>
      </c>
      <c r="F16" s="65" t="s">
        <v>36</v>
      </c>
      <c r="G16" s="66">
        <v>310</v>
      </c>
      <c r="H16" s="67">
        <v>1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</row>
    <row r="17" spans="1:23">
      <c r="A17" s="32"/>
      <c r="B17" s="32"/>
      <c r="C17" s="32"/>
      <c r="D17" s="105">
        <v>14</v>
      </c>
      <c r="E17" s="106" t="s">
        <v>35</v>
      </c>
      <c r="F17" s="107" t="s">
        <v>37</v>
      </c>
      <c r="G17" s="108">
        <v>300</v>
      </c>
      <c r="H17" s="109">
        <v>1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</row>
    <row r="18" spans="1:23">
      <c r="A18" s="32"/>
      <c r="B18" s="32"/>
      <c r="C18" s="32"/>
      <c r="D18" s="105">
        <v>15</v>
      </c>
      <c r="E18" s="64" t="s">
        <v>72</v>
      </c>
      <c r="F18" s="65" t="s">
        <v>74</v>
      </c>
      <c r="G18" s="66">
        <v>300</v>
      </c>
      <c r="H18" s="67">
        <v>1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</row>
    <row r="19" spans="1:23">
      <c r="A19" s="32"/>
      <c r="B19" s="32"/>
      <c r="C19" s="32"/>
      <c r="D19" s="105">
        <v>16</v>
      </c>
      <c r="E19" s="64" t="s">
        <v>35</v>
      </c>
      <c r="F19" s="65" t="s">
        <v>38</v>
      </c>
      <c r="G19" s="66">
        <v>240</v>
      </c>
      <c r="H19" s="67">
        <v>1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 spans="1:23">
      <c r="A20" s="32"/>
      <c r="B20" s="32"/>
      <c r="C20" s="32"/>
      <c r="D20" s="105">
        <v>17</v>
      </c>
      <c r="E20" s="64" t="s">
        <v>43</v>
      </c>
      <c r="F20" s="65" t="s">
        <v>50</v>
      </c>
      <c r="G20" s="66">
        <v>240</v>
      </c>
      <c r="H20" s="67">
        <v>1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</row>
    <row r="21" spans="1:23">
      <c r="A21" s="32"/>
      <c r="B21" s="32"/>
      <c r="C21" s="32"/>
      <c r="D21" s="105">
        <v>18</v>
      </c>
      <c r="E21" s="64" t="s">
        <v>54</v>
      </c>
      <c r="F21" s="65" t="s">
        <v>57</v>
      </c>
      <c r="G21" s="66">
        <v>240</v>
      </c>
      <c r="H21" s="67">
        <v>1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</row>
    <row r="22" spans="1:23">
      <c r="A22" s="32"/>
      <c r="B22" s="32"/>
      <c r="C22" s="32"/>
      <c r="D22" s="105">
        <v>19</v>
      </c>
      <c r="E22" s="106" t="s">
        <v>35</v>
      </c>
      <c r="F22" s="107" t="s">
        <v>39</v>
      </c>
      <c r="G22" s="108">
        <v>225</v>
      </c>
      <c r="H22" s="109">
        <v>1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  <row r="23" spans="1:23">
      <c r="A23" s="32"/>
      <c r="B23" s="32"/>
      <c r="C23" s="32"/>
      <c r="D23" s="105">
        <v>20</v>
      </c>
      <c r="E23" s="64" t="s">
        <v>54</v>
      </c>
      <c r="F23" s="65" t="s">
        <v>58</v>
      </c>
      <c r="G23" s="66">
        <v>210</v>
      </c>
      <c r="H23" s="67">
        <v>1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</row>
    <row r="24" spans="1:23">
      <c r="A24" s="32"/>
      <c r="B24" s="32"/>
      <c r="C24" s="32"/>
      <c r="D24" s="105">
        <v>21</v>
      </c>
      <c r="E24" s="57" t="s">
        <v>54</v>
      </c>
      <c r="F24" s="58" t="s">
        <v>59</v>
      </c>
      <c r="G24" s="59">
        <v>200</v>
      </c>
      <c r="H24" s="60">
        <v>1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</row>
    <row r="25" spans="1:23">
      <c r="A25" s="32"/>
      <c r="B25" s="32"/>
      <c r="C25" s="32"/>
      <c r="D25" s="105">
        <v>22</v>
      </c>
      <c r="E25" s="64" t="s">
        <v>54</v>
      </c>
      <c r="F25" s="65" t="s">
        <v>60</v>
      </c>
      <c r="G25" s="66">
        <v>200</v>
      </c>
      <c r="H25" s="67">
        <v>1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</row>
    <row r="26" spans="1:23">
      <c r="A26" s="32"/>
      <c r="B26" s="32"/>
      <c r="C26" s="32"/>
      <c r="D26" s="105">
        <v>23</v>
      </c>
      <c r="E26" s="64" t="s">
        <v>65</v>
      </c>
      <c r="F26" s="65" t="s">
        <v>66</v>
      </c>
      <c r="G26" s="66">
        <v>200</v>
      </c>
      <c r="H26" s="67">
        <v>1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</row>
    <row r="27" spans="1:23">
      <c r="D27" s="105">
        <v>24</v>
      </c>
      <c r="E27" s="64" t="s">
        <v>79</v>
      </c>
      <c r="F27" s="65" t="s">
        <v>82</v>
      </c>
      <c r="G27" s="66">
        <v>200</v>
      </c>
      <c r="H27" s="67">
        <v>1</v>
      </c>
    </row>
    <row r="28" spans="1:23">
      <c r="A28" s="32"/>
      <c r="B28" s="32"/>
      <c r="C28" s="32"/>
      <c r="D28" s="105">
        <v>25</v>
      </c>
      <c r="E28" s="64" t="s">
        <v>29</v>
      </c>
      <c r="F28" s="65" t="s">
        <v>86</v>
      </c>
      <c r="G28" s="66">
        <v>200</v>
      </c>
      <c r="H28" s="67">
        <v>1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</row>
    <row r="29" spans="1:23">
      <c r="A29" s="32"/>
      <c r="B29" s="32"/>
      <c r="C29" s="32"/>
      <c r="D29" s="105">
        <v>26</v>
      </c>
      <c r="E29" s="106" t="s">
        <v>72</v>
      </c>
      <c r="F29" s="107" t="s">
        <v>75</v>
      </c>
      <c r="G29" s="108">
        <v>195</v>
      </c>
      <c r="H29" s="109">
        <v>1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</row>
    <row r="30" spans="1:23">
      <c r="A30" s="32"/>
      <c r="B30" s="32"/>
      <c r="C30" s="32"/>
      <c r="D30" s="105">
        <v>27</v>
      </c>
      <c r="E30" s="64" t="s">
        <v>79</v>
      </c>
      <c r="F30" s="65" t="s">
        <v>83</v>
      </c>
      <c r="G30" s="66">
        <v>180</v>
      </c>
      <c r="H30" s="67">
        <v>1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</row>
    <row r="31" spans="1:23">
      <c r="A31" s="32"/>
      <c r="B31" s="32"/>
      <c r="C31" s="32"/>
      <c r="D31" s="105">
        <v>28</v>
      </c>
      <c r="E31" s="64" t="s">
        <v>54</v>
      </c>
      <c r="F31" s="65" t="s">
        <v>61</v>
      </c>
      <c r="G31" s="66">
        <v>170</v>
      </c>
      <c r="H31" s="67">
        <v>1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</row>
    <row r="32" spans="1:23">
      <c r="A32" s="32"/>
      <c r="B32" s="32"/>
      <c r="C32" s="32"/>
      <c r="D32" s="105">
        <v>29</v>
      </c>
      <c r="E32" s="64" t="s">
        <v>72</v>
      </c>
      <c r="F32" s="65" t="s">
        <v>76</v>
      </c>
      <c r="G32" s="66">
        <v>170</v>
      </c>
      <c r="H32" s="67">
        <v>1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</row>
    <row r="33" spans="1:23" ht="25.5">
      <c r="A33" s="32"/>
      <c r="B33" s="32"/>
      <c r="C33" s="32"/>
      <c r="D33" s="82">
        <v>30</v>
      </c>
      <c r="E33" s="64" t="s">
        <v>43</v>
      </c>
      <c r="F33" s="65" t="s">
        <v>51</v>
      </c>
      <c r="G33" s="66">
        <v>160</v>
      </c>
      <c r="H33" s="67">
        <v>1</v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1:23">
      <c r="A34" s="32"/>
      <c r="B34" s="32"/>
      <c r="C34" s="32"/>
      <c r="D34" s="82">
        <v>31</v>
      </c>
      <c r="E34" s="64" t="s">
        <v>35</v>
      </c>
      <c r="F34" s="65" t="s">
        <v>40</v>
      </c>
      <c r="G34" s="66">
        <v>120</v>
      </c>
      <c r="H34" s="67">
        <v>1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</row>
    <row r="35" spans="1:23">
      <c r="A35" s="32"/>
      <c r="B35" s="32"/>
      <c r="C35" s="32"/>
      <c r="D35" s="82">
        <v>32</v>
      </c>
      <c r="E35" s="64" t="s">
        <v>65</v>
      </c>
      <c r="F35" s="65" t="s">
        <v>67</v>
      </c>
      <c r="G35" s="66">
        <v>120</v>
      </c>
      <c r="H35" s="67">
        <v>1</v>
      </c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</row>
    <row r="36" spans="1:23">
      <c r="A36" s="32"/>
      <c r="B36" s="32"/>
      <c r="C36" s="32"/>
      <c r="D36" s="82">
        <v>33</v>
      </c>
      <c r="E36" s="64" t="s">
        <v>28</v>
      </c>
      <c r="F36" s="65" t="s">
        <v>85</v>
      </c>
      <c r="G36" s="66">
        <v>120</v>
      </c>
      <c r="H36" s="67">
        <v>1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</row>
    <row r="37" spans="1:23">
      <c r="A37" s="32"/>
      <c r="B37" s="32"/>
      <c r="C37" s="32"/>
      <c r="D37" s="82">
        <v>34</v>
      </c>
      <c r="E37" s="64" t="s">
        <v>72</v>
      </c>
      <c r="F37" s="65" t="s">
        <v>77</v>
      </c>
      <c r="G37" s="66">
        <v>90</v>
      </c>
      <c r="H37" s="67">
        <v>1</v>
      </c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</row>
    <row r="38" spans="1:23" ht="15.75" thickBot="1">
      <c r="D38" s="82">
        <v>35</v>
      </c>
      <c r="E38" s="83" t="s">
        <v>29</v>
      </c>
      <c r="F38" s="84" t="s">
        <v>87</v>
      </c>
      <c r="G38" s="85">
        <v>75</v>
      </c>
      <c r="H38" s="86">
        <v>1</v>
      </c>
    </row>
    <row r="39" spans="1:23" ht="16.5" thickTop="1" thickBot="1">
      <c r="A39" s="32"/>
      <c r="B39" s="32"/>
      <c r="C39" s="32"/>
      <c r="D39" s="32">
        <v>36</v>
      </c>
      <c r="E39" t="s">
        <v>29</v>
      </c>
      <c r="F39" s="32" t="s">
        <v>88</v>
      </c>
      <c r="G39" s="32">
        <v>75</v>
      </c>
      <c r="H39" s="32">
        <v>1</v>
      </c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</row>
    <row r="40" spans="1:23" ht="16.5" thickTop="1" thickBot="1">
      <c r="A40" s="32"/>
      <c r="B40" s="32"/>
      <c r="C40" s="32"/>
      <c r="D40" s="113">
        <v>37</v>
      </c>
      <c r="E40" s="114" t="s">
        <v>43</v>
      </c>
      <c r="F40" s="115" t="s">
        <v>52</v>
      </c>
      <c r="G40" s="116">
        <v>70</v>
      </c>
      <c r="H40" s="117">
        <v>1</v>
      </c>
      <c r="I40" s="32"/>
      <c r="J40" s="126"/>
      <c r="K40" s="127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</row>
    <row r="41" spans="1:23" ht="16.5" thickTop="1" thickBot="1">
      <c r="A41" s="32"/>
      <c r="B41" s="32"/>
      <c r="C41" s="32"/>
      <c r="D41" s="113">
        <v>38</v>
      </c>
      <c r="E41" s="114" t="s">
        <v>43</v>
      </c>
      <c r="F41" s="115" t="s">
        <v>53</v>
      </c>
      <c r="G41" s="116">
        <v>70</v>
      </c>
      <c r="H41" s="117">
        <v>1</v>
      </c>
      <c r="I41" s="32"/>
      <c r="J41" s="126"/>
      <c r="K41" s="127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</row>
    <row r="42" spans="1:23" ht="16.5" thickTop="1" thickBot="1">
      <c r="A42" s="32"/>
      <c r="B42" s="32"/>
      <c r="C42" s="32"/>
      <c r="D42" s="113">
        <v>39</v>
      </c>
      <c r="E42" s="114" t="s">
        <v>65</v>
      </c>
      <c r="F42" s="115" t="s">
        <v>68</v>
      </c>
      <c r="G42" s="116">
        <v>70</v>
      </c>
      <c r="H42" s="117">
        <v>1</v>
      </c>
      <c r="I42" s="32"/>
      <c r="J42" s="126"/>
      <c r="K42" s="127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</row>
    <row r="43" spans="1:23" ht="16.5" thickTop="1" thickBot="1">
      <c r="A43" s="32"/>
      <c r="B43" s="32"/>
      <c r="C43" s="32"/>
      <c r="D43" s="113">
        <v>40</v>
      </c>
      <c r="E43" s="114" t="s">
        <v>54</v>
      </c>
      <c r="F43" s="115" t="s">
        <v>62</v>
      </c>
      <c r="G43" s="116">
        <v>60</v>
      </c>
      <c r="H43" s="117">
        <v>1</v>
      </c>
      <c r="I43" s="32"/>
      <c r="J43" s="126"/>
      <c r="K43" s="127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</row>
    <row r="44" spans="1:23" ht="16.5" thickTop="1" thickBot="1">
      <c r="A44" s="32"/>
      <c r="B44" s="32"/>
      <c r="C44" s="32"/>
      <c r="D44" s="113">
        <v>41</v>
      </c>
      <c r="E44" s="114" t="s">
        <v>54</v>
      </c>
      <c r="F44" s="115" t="s">
        <v>63</v>
      </c>
      <c r="G44" s="116">
        <v>60</v>
      </c>
      <c r="H44" s="117">
        <v>1</v>
      </c>
      <c r="I44" s="32"/>
      <c r="J44" s="126"/>
      <c r="K44" s="127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</row>
    <row r="45" spans="1:23" ht="16.5" thickTop="1" thickBot="1">
      <c r="A45" s="32"/>
      <c r="B45" s="32"/>
      <c r="C45" s="32"/>
      <c r="D45" s="113">
        <v>42</v>
      </c>
      <c r="E45" s="114" t="s">
        <v>65</v>
      </c>
      <c r="F45" s="115" t="s">
        <v>69</v>
      </c>
      <c r="G45" s="116">
        <v>50</v>
      </c>
      <c r="H45" s="117">
        <v>1</v>
      </c>
      <c r="I45" s="32"/>
      <c r="J45" s="126"/>
      <c r="K45" s="127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</row>
    <row r="46" spans="1:23" ht="16.5" thickTop="1" thickBot="1">
      <c r="A46" s="32"/>
      <c r="B46" s="32"/>
      <c r="C46" s="32"/>
      <c r="D46" s="113">
        <v>43</v>
      </c>
      <c r="E46" s="114" t="s">
        <v>54</v>
      </c>
      <c r="F46" s="115" t="s">
        <v>64</v>
      </c>
      <c r="G46" s="116">
        <v>40</v>
      </c>
      <c r="H46" s="117">
        <v>1</v>
      </c>
      <c r="I46" s="32"/>
      <c r="J46" s="126"/>
      <c r="K46" s="127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</row>
    <row r="47" spans="1:23" ht="16.5" thickTop="1" thickBot="1">
      <c r="A47" s="32"/>
      <c r="B47" s="32"/>
      <c r="C47" s="32"/>
      <c r="D47" s="113">
        <v>44</v>
      </c>
      <c r="E47" s="114" t="s">
        <v>65</v>
      </c>
      <c r="F47" s="115" t="s">
        <v>70</v>
      </c>
      <c r="G47" s="116">
        <v>30</v>
      </c>
      <c r="H47" s="117">
        <v>1</v>
      </c>
      <c r="I47" s="32"/>
      <c r="J47" s="126"/>
      <c r="K47" s="127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</row>
    <row r="48" spans="1:23" ht="16.5" thickTop="1" thickBot="1">
      <c r="A48" s="32"/>
      <c r="B48" s="32"/>
      <c r="C48" s="32"/>
      <c r="D48" s="113">
        <v>45</v>
      </c>
      <c r="E48" s="114" t="s">
        <v>72</v>
      </c>
      <c r="F48" s="115" t="s">
        <v>78</v>
      </c>
      <c r="G48" s="116">
        <v>30</v>
      </c>
      <c r="H48" s="117">
        <v>1</v>
      </c>
      <c r="I48" s="32"/>
      <c r="J48" s="126"/>
      <c r="K48" s="127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</row>
    <row r="49" spans="1:23" ht="16.5" thickTop="1" thickBot="1">
      <c r="A49" s="32"/>
      <c r="B49" s="32"/>
      <c r="C49" s="32"/>
      <c r="D49" s="113">
        <v>46</v>
      </c>
      <c r="E49" s="114" t="s">
        <v>35</v>
      </c>
      <c r="F49" s="115" t="s">
        <v>41</v>
      </c>
      <c r="G49" s="116">
        <v>25</v>
      </c>
      <c r="H49" s="117">
        <v>1</v>
      </c>
      <c r="I49" s="32"/>
      <c r="J49" s="126"/>
      <c r="K49" s="127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</row>
    <row r="50" spans="1:23" ht="16.5" thickTop="1" thickBot="1">
      <c r="A50" s="32"/>
      <c r="B50" s="32"/>
      <c r="C50" s="32"/>
      <c r="D50" s="113">
        <v>47</v>
      </c>
      <c r="E50" s="114" t="s">
        <v>35</v>
      </c>
      <c r="F50" s="115" t="s">
        <v>42</v>
      </c>
      <c r="G50" s="116">
        <v>20</v>
      </c>
      <c r="H50" s="117">
        <v>1</v>
      </c>
      <c r="I50" s="32"/>
      <c r="J50" s="126"/>
      <c r="K50" s="127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</row>
    <row r="51" spans="1:23" ht="16.5" thickTop="1" thickBot="1">
      <c r="A51" s="32"/>
      <c r="B51" s="32"/>
      <c r="C51" s="32"/>
      <c r="D51" s="113">
        <v>48</v>
      </c>
      <c r="E51" s="114" t="s">
        <v>65</v>
      </c>
      <c r="F51" s="115" t="s">
        <v>71</v>
      </c>
      <c r="G51" s="116">
        <v>10</v>
      </c>
      <c r="H51" s="117">
        <v>1</v>
      </c>
      <c r="I51" s="32"/>
      <c r="J51" s="126"/>
      <c r="K51" s="127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</row>
    <row r="52" spans="1:23" ht="18.75" thickTop="1" thickBot="1">
      <c r="A52" s="32"/>
      <c r="B52" s="32"/>
      <c r="C52" s="32"/>
      <c r="E52" s="32"/>
      <c r="F52" s="37" t="s">
        <v>23</v>
      </c>
      <c r="G52" s="36">
        <f>SUM(G4:G51)</f>
        <v>11647</v>
      </c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</row>
    <row r="53" spans="1:23" ht="15.75" thickTop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</row>
    <row r="54" spans="1:2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</row>
    <row r="55" spans="1:23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</row>
    <row r="56" spans="1:23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</row>
    <row r="57" spans="1:23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</row>
    <row r="58" spans="1:23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</row>
    <row r="59" spans="1:23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</row>
    <row r="60" spans="1:23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</row>
    <row r="61" spans="1:23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</row>
    <row r="62" spans="1:23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</row>
    <row r="63" spans="1:2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</row>
    <row r="64" spans="1:23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</row>
    <row r="65" spans="1:23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</row>
    <row r="66" spans="1:23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</row>
    <row r="67" spans="1:23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</row>
    <row r="68" spans="1:23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</row>
    <row r="69" spans="1:23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</row>
    <row r="70" spans="1:23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</row>
    <row r="71" spans="1:23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</row>
    <row r="72" spans="1:23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</row>
    <row r="73" spans="1:2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</row>
    <row r="74" spans="1:23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</row>
    <row r="75" spans="1:23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</row>
    <row r="76" spans="1:23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</row>
    <row r="77" spans="1:23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</row>
    <row r="78" spans="1:23">
      <c r="A78" s="32"/>
      <c r="B78" s="32"/>
      <c r="C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</row>
    <row r="79" spans="1:23">
      <c r="A79" s="32"/>
      <c r="B79" s="32"/>
      <c r="C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</row>
    <row r="80" spans="1:23">
      <c r="A80" s="32"/>
      <c r="B80" s="32"/>
      <c r="C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</row>
    <row r="81" spans="1:23">
      <c r="A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</row>
    <row r="82" spans="1:23">
      <c r="A82" s="32"/>
      <c r="J82" s="32"/>
      <c r="K82" s="32"/>
      <c r="L82" s="32"/>
      <c r="U82" s="32"/>
      <c r="V82" s="32"/>
      <c r="W82" s="32"/>
    </row>
    <row r="83" spans="1:23">
      <c r="A83" s="32"/>
      <c r="J83" s="32"/>
      <c r="K83" s="32"/>
      <c r="L83" s="32"/>
    </row>
    <row r="84" spans="1:23">
      <c r="A84" s="32"/>
      <c r="J84" s="32"/>
      <c r="K84" s="32"/>
      <c r="L84" s="32"/>
    </row>
    <row r="85" spans="1:23">
      <c r="A85" s="32"/>
      <c r="J85" s="32"/>
      <c r="K85" s="32"/>
      <c r="L85" s="32"/>
    </row>
    <row r="86" spans="1:23">
      <c r="A86" s="32"/>
    </row>
  </sheetData>
  <protectedRanges>
    <protectedRange sqref="F4" name="Rango1_8_2_1"/>
  </protectedRanges>
  <sortState xmlns:xlrd2="http://schemas.microsoft.com/office/spreadsheetml/2017/richdata2" ref="D4:H32">
    <sortCondition descending="1" ref="G4:G32"/>
  </sortState>
  <mergeCells count="14">
    <mergeCell ref="J48:K48"/>
    <mergeCell ref="J49:K49"/>
    <mergeCell ref="J50:K50"/>
    <mergeCell ref="J51:K51"/>
    <mergeCell ref="J43:K43"/>
    <mergeCell ref="J44:K44"/>
    <mergeCell ref="J45:K45"/>
    <mergeCell ref="J46:K46"/>
    <mergeCell ref="J47:K47"/>
    <mergeCell ref="J4:K4"/>
    <mergeCell ref="J7:L8"/>
    <mergeCell ref="J40:K40"/>
    <mergeCell ref="J41:K41"/>
    <mergeCell ref="J42:K42"/>
  </mergeCells>
  <conditionalFormatting sqref="F5">
    <cfRule type="expression" dxfId="19" priority="14" stopIfTrue="1">
      <formula>IF(C1048548=$F$1769,F5)</formula>
    </cfRule>
  </conditionalFormatting>
  <conditionalFormatting sqref="F4:F36">
    <cfRule type="expression" dxfId="18" priority="15" stopIfTrue="1">
      <formula>IF(C1048548=$F$1769,F4)</formula>
    </cfRule>
  </conditionalFormatting>
  <conditionalFormatting sqref="F42">
    <cfRule type="expression" dxfId="17" priority="10" stopIfTrue="1">
      <formula>IF(C1=$F$1769,F42)</formula>
    </cfRule>
  </conditionalFormatting>
  <conditionalFormatting sqref="F41">
    <cfRule type="expression" dxfId="16" priority="355" stopIfTrue="1">
      <formula>IF(#REF!=$F$1769,F41)</formula>
    </cfRule>
  </conditionalFormatting>
  <conditionalFormatting sqref="F43">
    <cfRule type="expression" dxfId="15" priority="9" stopIfTrue="1">
      <formula>IF(C3=$F$1769,F43)</formula>
    </cfRule>
  </conditionalFormatting>
  <conditionalFormatting sqref="F40">
    <cfRule type="expression" dxfId="14" priority="356" stopIfTrue="1">
      <formula>IF(#REF!=$F$1769,F40)</formula>
    </cfRule>
  </conditionalFormatting>
  <conditionalFormatting sqref="F44">
    <cfRule type="expression" dxfId="13" priority="8" stopIfTrue="1">
      <formula>IF(C5=$F$1769,F44)</formula>
    </cfRule>
  </conditionalFormatting>
  <conditionalFormatting sqref="F6:F38">
    <cfRule type="expression" dxfId="12" priority="357" stopIfTrue="1">
      <formula>IF(C1048551=$F$1769,F6)</formula>
    </cfRule>
  </conditionalFormatting>
  <conditionalFormatting sqref="F45">
    <cfRule type="expression" dxfId="11" priority="7" stopIfTrue="1">
      <formula>IF(C7=$F$1769,F45)</formula>
    </cfRule>
  </conditionalFormatting>
  <conditionalFormatting sqref="F38">
    <cfRule type="expression" dxfId="10" priority="358" stopIfTrue="1">
      <formula>IF(#REF!=$F$1769,F38)</formula>
    </cfRule>
  </conditionalFormatting>
  <conditionalFormatting sqref="F46">
    <cfRule type="expression" dxfId="9" priority="6" stopIfTrue="1">
      <formula>IF(C9=$F$1769,F46)</formula>
    </cfRule>
  </conditionalFormatting>
  <conditionalFormatting sqref="F47">
    <cfRule type="expression" dxfId="8" priority="5" stopIfTrue="1">
      <formula>IF(C11=$F$1769,F47)</formula>
    </cfRule>
  </conditionalFormatting>
  <conditionalFormatting sqref="F48">
    <cfRule type="expression" dxfId="7" priority="4" stopIfTrue="1">
      <formula>IF(C13=$F$1769,F48)</formula>
    </cfRule>
  </conditionalFormatting>
  <conditionalFormatting sqref="F49">
    <cfRule type="expression" dxfId="6" priority="3" stopIfTrue="1">
      <formula>IF(C15=$F$1769,F49)</formula>
    </cfRule>
  </conditionalFormatting>
  <conditionalFormatting sqref="F50">
    <cfRule type="expression" dxfId="5" priority="2" stopIfTrue="1">
      <formula>IF(C17=$F$1769,F50)</formula>
    </cfRule>
  </conditionalFormatting>
  <conditionalFormatting sqref="F51">
    <cfRule type="expression" dxfId="0" priority="1" stopIfTrue="1">
      <formula>IF(C19=$F$1769,F51)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  <pageSetUpPr fitToPage="1"/>
  </sheetPr>
  <dimension ref="A1:T41"/>
  <sheetViews>
    <sheetView showGridLines="0" showWhiteSpace="0" zoomScale="80" zoomScaleNormal="85" zoomScalePageLayoutView="80" workbookViewId="0">
      <selection activeCell="K11" sqref="K11"/>
    </sheetView>
  </sheetViews>
  <sheetFormatPr baseColWidth="10" defaultRowHeight="15"/>
  <cols>
    <col min="1" max="1" width="3.28515625" style="16" customWidth="1"/>
    <col min="2" max="2" width="5.28515625" bestFit="1" customWidth="1"/>
    <col min="3" max="3" width="11.85546875" bestFit="1" customWidth="1"/>
    <col min="4" max="4" width="13.28515625" customWidth="1"/>
    <col min="5" max="5" width="16.42578125" customWidth="1"/>
    <col min="6" max="7" width="16.5703125" customWidth="1"/>
    <col min="8" max="8" width="3.7109375" customWidth="1"/>
    <col min="9" max="9" width="1.140625" customWidth="1"/>
    <col min="10" max="10" width="6.7109375" bestFit="1" customWidth="1"/>
    <col min="11" max="11" width="50.42578125" bestFit="1" customWidth="1"/>
    <col min="12" max="12" width="35.7109375" customWidth="1"/>
    <col min="13" max="13" width="41.140625" customWidth="1"/>
  </cols>
  <sheetData>
    <row r="1" spans="1:20" ht="22.15" customHeight="1">
      <c r="A1" s="148"/>
      <c r="B1" s="149"/>
      <c r="C1" s="149"/>
      <c r="D1" s="150"/>
      <c r="E1" s="154" t="s">
        <v>0</v>
      </c>
      <c r="F1" s="155"/>
      <c r="G1" s="155"/>
      <c r="H1" s="155"/>
      <c r="I1" s="155"/>
      <c r="J1" s="155"/>
      <c r="K1" s="155"/>
      <c r="L1" s="156"/>
      <c r="M1" s="134" t="s">
        <v>1</v>
      </c>
      <c r="N1" s="1"/>
      <c r="O1" s="2"/>
      <c r="P1" s="2"/>
      <c r="Q1" s="2"/>
      <c r="R1" s="2"/>
      <c r="S1" s="2"/>
      <c r="T1" s="2"/>
    </row>
    <row r="2" spans="1:20" ht="22.15" customHeight="1">
      <c r="A2" s="151"/>
      <c r="B2" s="152"/>
      <c r="C2" s="152"/>
      <c r="D2" s="153"/>
      <c r="E2" s="157"/>
      <c r="F2" s="158"/>
      <c r="G2" s="158"/>
      <c r="H2" s="158"/>
      <c r="I2" s="158"/>
      <c r="J2" s="158"/>
      <c r="K2" s="158"/>
      <c r="L2" s="159"/>
      <c r="M2" s="135"/>
      <c r="N2" s="1"/>
      <c r="O2" s="2"/>
      <c r="P2" s="2"/>
      <c r="Q2" s="2"/>
      <c r="R2" s="2"/>
      <c r="S2" s="2"/>
      <c r="T2" s="2"/>
    </row>
    <row r="3" spans="1:20" ht="18.75">
      <c r="A3" s="136" t="s">
        <v>7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8"/>
      <c r="N3" s="1"/>
      <c r="O3" s="2"/>
      <c r="P3" s="2"/>
      <c r="Q3" s="2"/>
      <c r="R3" s="2"/>
      <c r="S3" s="2"/>
    </row>
    <row r="4" spans="1:20" ht="2.4500000000000002" customHeight="1">
      <c r="A4" s="3"/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4"/>
      <c r="N4" s="1"/>
      <c r="O4" s="2"/>
      <c r="P4" s="2"/>
      <c r="Q4" s="2"/>
      <c r="R4" s="2"/>
      <c r="S4" s="2"/>
    </row>
    <row r="5" spans="1:20" ht="23.45" customHeight="1">
      <c r="A5" s="139" t="s">
        <v>8</v>
      </c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1"/>
      <c r="N5" s="1"/>
      <c r="O5" s="2"/>
      <c r="P5" s="2"/>
      <c r="Q5" s="2"/>
      <c r="R5" s="2"/>
      <c r="S5" s="2"/>
    </row>
    <row r="6" spans="1:20" ht="5.4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1"/>
      <c r="O6" s="2"/>
      <c r="P6" s="2"/>
      <c r="Q6" s="2"/>
      <c r="R6" s="2"/>
      <c r="S6" s="2"/>
      <c r="T6" s="2"/>
    </row>
    <row r="7" spans="1:20" ht="19.899999999999999" customHeight="1">
      <c r="A7" s="8"/>
      <c r="B7" s="11"/>
      <c r="C7" s="10"/>
      <c r="D7" s="142" t="s">
        <v>4</v>
      </c>
      <c r="E7" s="143"/>
      <c r="F7" s="143"/>
      <c r="G7" s="143"/>
      <c r="H7" s="144"/>
      <c r="I7" s="17"/>
      <c r="J7" s="145" t="s">
        <v>5</v>
      </c>
      <c r="K7" s="146"/>
      <c r="L7" s="147"/>
      <c r="M7" s="7"/>
      <c r="N7" s="1"/>
      <c r="O7" s="2"/>
      <c r="P7" s="2"/>
      <c r="Q7" s="2"/>
      <c r="R7" s="2"/>
      <c r="S7" s="2"/>
      <c r="T7" s="2"/>
    </row>
    <row r="8" spans="1:20" ht="15.6" customHeight="1">
      <c r="A8" s="18"/>
      <c r="B8" s="19" t="s">
        <v>2</v>
      </c>
      <c r="C8" s="50" t="s">
        <v>34</v>
      </c>
      <c r="D8" s="9" t="s">
        <v>3</v>
      </c>
      <c r="E8" s="49">
        <v>2026</v>
      </c>
      <c r="F8" s="10"/>
      <c r="G8" s="11"/>
      <c r="H8" s="20"/>
      <c r="I8" s="21"/>
      <c r="J8" s="22"/>
      <c r="K8" s="10"/>
      <c r="L8" s="10"/>
      <c r="M8" s="12"/>
      <c r="N8" s="1"/>
      <c r="O8" s="2"/>
      <c r="P8" s="2"/>
      <c r="Q8" s="2"/>
      <c r="R8" s="2"/>
      <c r="S8" s="2"/>
      <c r="T8" s="2"/>
    </row>
    <row r="9" spans="1:20" ht="5.45" customHeight="1">
      <c r="A9" s="5"/>
      <c r="B9" s="23"/>
      <c r="C9" s="6"/>
      <c r="D9" s="6"/>
      <c r="E9" s="6"/>
      <c r="F9" s="6"/>
      <c r="G9" s="6"/>
      <c r="H9" s="24"/>
      <c r="I9" s="25"/>
      <c r="J9" s="26"/>
      <c r="K9" s="13"/>
      <c r="L9" s="14"/>
      <c r="M9" s="7"/>
      <c r="N9" s="1"/>
      <c r="O9" s="2"/>
      <c r="P9" s="2"/>
      <c r="Q9" s="2"/>
      <c r="R9" s="2"/>
      <c r="S9" s="2"/>
      <c r="T9" s="2"/>
    </row>
    <row r="10" spans="1:20" ht="26.45" customHeight="1">
      <c r="A10" s="62" t="s">
        <v>6</v>
      </c>
      <c r="B10" s="129" t="s">
        <v>30</v>
      </c>
      <c r="C10" s="130"/>
      <c r="D10" s="130" t="s">
        <v>31</v>
      </c>
      <c r="E10" s="130"/>
      <c r="F10" s="130"/>
      <c r="G10" s="131"/>
      <c r="H10" s="24"/>
      <c r="I10" s="25"/>
      <c r="J10" s="26"/>
      <c r="K10" s="42" t="s">
        <v>32</v>
      </c>
      <c r="L10" s="162" t="s">
        <v>33</v>
      </c>
      <c r="M10" s="163"/>
      <c r="N10" s="1"/>
      <c r="O10" s="2"/>
      <c r="P10" s="2"/>
      <c r="Q10" s="2"/>
      <c r="R10" s="2"/>
      <c r="S10" s="2"/>
      <c r="T10" s="2"/>
    </row>
    <row r="11" spans="1:20" ht="39" customHeight="1">
      <c r="A11" s="44">
        <v>1</v>
      </c>
      <c r="B11" s="132"/>
      <c r="C11" s="133"/>
      <c r="D11" s="164"/>
      <c r="E11" s="165"/>
      <c r="F11" s="165"/>
      <c r="G11" s="166"/>
      <c r="H11" s="53"/>
      <c r="I11" s="45"/>
      <c r="J11" s="52"/>
      <c r="K11" s="56"/>
      <c r="L11" s="160"/>
      <c r="M11" s="161"/>
      <c r="N11" s="46"/>
      <c r="O11" s="2"/>
      <c r="P11" s="2"/>
      <c r="Q11" s="2"/>
      <c r="R11" s="2"/>
      <c r="S11" s="2"/>
      <c r="T11" s="2"/>
    </row>
    <row r="12" spans="1:20" ht="16.5" customHeight="1">
      <c r="A12" s="54">
        <v>3</v>
      </c>
      <c r="B12" s="132"/>
      <c r="C12" s="133"/>
      <c r="D12" s="164"/>
      <c r="E12" s="165"/>
      <c r="F12" s="165"/>
      <c r="G12" s="166"/>
      <c r="H12" s="53"/>
      <c r="I12" s="45"/>
      <c r="J12" s="55"/>
      <c r="K12" s="56"/>
      <c r="L12" s="160"/>
      <c r="M12" s="161"/>
      <c r="N12" s="46"/>
      <c r="O12" s="2"/>
      <c r="P12" s="2"/>
      <c r="Q12" s="2"/>
      <c r="R12" s="2"/>
      <c r="S12" s="2"/>
      <c r="T12" s="2"/>
    </row>
    <row r="13" spans="1:20" ht="32.25" customHeight="1">
      <c r="A13" s="54">
        <v>4</v>
      </c>
      <c r="B13" s="132"/>
      <c r="C13" s="133"/>
      <c r="D13" s="164"/>
      <c r="E13" s="165"/>
      <c r="F13" s="165"/>
      <c r="G13" s="166"/>
      <c r="H13" s="53"/>
      <c r="I13" s="45"/>
      <c r="J13" s="55"/>
      <c r="K13" s="56"/>
      <c r="L13" s="160"/>
      <c r="M13" s="161"/>
      <c r="N13" s="46"/>
      <c r="O13" s="2"/>
      <c r="P13" s="2"/>
      <c r="Q13" s="2"/>
      <c r="R13" s="2"/>
      <c r="S13" s="2"/>
      <c r="T13" s="2"/>
    </row>
    <row r="14" spans="1:20" ht="16.5" customHeight="1">
      <c r="A14" s="54">
        <v>5</v>
      </c>
      <c r="B14" s="132"/>
      <c r="C14" s="133"/>
      <c r="D14" s="164"/>
      <c r="E14" s="165"/>
      <c r="F14" s="165"/>
      <c r="G14" s="166"/>
      <c r="H14" s="53"/>
      <c r="I14" s="45"/>
      <c r="J14" s="55"/>
      <c r="K14" s="56"/>
      <c r="L14" s="160"/>
      <c r="M14" s="161"/>
      <c r="N14" s="46"/>
      <c r="O14" s="2"/>
      <c r="P14" s="2"/>
      <c r="Q14" s="2"/>
      <c r="R14" s="2"/>
      <c r="S14" s="2"/>
      <c r="T14" s="2"/>
    </row>
    <row r="15" spans="1:20" ht="16.5" customHeight="1">
      <c r="A15" s="54"/>
      <c r="B15" s="132"/>
      <c r="C15" s="133"/>
      <c r="D15" s="167"/>
      <c r="E15" s="168"/>
      <c r="F15" s="168"/>
      <c r="G15" s="169"/>
      <c r="H15" s="53"/>
      <c r="I15" s="45"/>
      <c r="J15" s="55"/>
      <c r="K15" s="56"/>
      <c r="L15" s="160"/>
      <c r="M15" s="161"/>
      <c r="N15" s="46"/>
      <c r="O15" s="87"/>
      <c r="P15" s="87"/>
      <c r="Q15" s="87"/>
      <c r="R15" s="87"/>
      <c r="S15" s="87"/>
      <c r="T15" s="87"/>
    </row>
    <row r="16" spans="1:20" ht="16.5" customHeight="1">
      <c r="A16" s="54">
        <v>6</v>
      </c>
      <c r="B16" s="132"/>
      <c r="C16" s="133"/>
      <c r="D16" s="164"/>
      <c r="E16" s="165"/>
      <c r="F16" s="165"/>
      <c r="G16" s="166"/>
      <c r="H16" s="53"/>
      <c r="I16" s="45"/>
      <c r="J16" s="55"/>
      <c r="K16" s="56"/>
      <c r="L16" s="160"/>
      <c r="M16" s="161"/>
      <c r="N16" s="46"/>
      <c r="O16" s="2"/>
      <c r="P16" s="2"/>
      <c r="Q16" s="2"/>
      <c r="R16" s="2"/>
      <c r="S16" s="2"/>
      <c r="T16" s="2"/>
    </row>
    <row r="17" spans="1:20" ht="16.5">
      <c r="A17" s="54">
        <v>7</v>
      </c>
      <c r="B17" s="132"/>
      <c r="C17" s="133"/>
      <c r="D17" s="164"/>
      <c r="E17" s="165"/>
      <c r="F17" s="165"/>
      <c r="G17" s="166"/>
      <c r="H17" s="53"/>
      <c r="I17" s="45"/>
      <c r="J17" s="55"/>
      <c r="K17" s="56"/>
      <c r="L17" s="160"/>
      <c r="M17" s="161"/>
      <c r="N17" s="46"/>
      <c r="O17" s="15"/>
      <c r="P17" s="15"/>
      <c r="Q17" s="2"/>
      <c r="R17" s="2"/>
      <c r="S17" s="2"/>
      <c r="T17" s="2"/>
    </row>
    <row r="18" spans="1:20">
      <c r="A18" s="48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46"/>
      <c r="O18" s="2"/>
      <c r="P18" s="2"/>
    </row>
    <row r="19" spans="1:20">
      <c r="A19" s="48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46"/>
      <c r="O19" s="2"/>
      <c r="P19" s="2"/>
    </row>
    <row r="20" spans="1:20">
      <c r="A20" s="48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46"/>
      <c r="O20" s="2"/>
      <c r="P20" s="2"/>
    </row>
    <row r="21" spans="1:20">
      <c r="A21" s="48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51"/>
      <c r="O21" s="47"/>
      <c r="P21" s="47"/>
      <c r="Q21" s="32"/>
    </row>
    <row r="22" spans="1:20" ht="29.25" customHeight="1">
      <c r="A22" s="48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51"/>
      <c r="O22" s="47"/>
      <c r="P22" s="47"/>
      <c r="Q22" s="32"/>
    </row>
    <row r="23" spans="1:20" ht="33.75" customHeight="1">
      <c r="A23" s="48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51"/>
      <c r="O23" s="47"/>
      <c r="P23" s="47"/>
      <c r="Q23" s="32"/>
    </row>
    <row r="24" spans="1:20" ht="32.25" customHeight="1">
      <c r="A24" s="48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51"/>
      <c r="O24" s="47"/>
      <c r="P24" s="47"/>
      <c r="Q24" s="32"/>
    </row>
    <row r="25" spans="1:20" ht="33" customHeight="1">
      <c r="A25" s="48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51"/>
      <c r="O25" s="47"/>
      <c r="P25" s="47"/>
      <c r="Q25" s="32"/>
    </row>
    <row r="26" spans="1:20" ht="36.75" customHeight="1">
      <c r="A26" s="48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51"/>
      <c r="O26" s="47"/>
      <c r="P26" s="47"/>
      <c r="Q26" s="32"/>
    </row>
    <row r="27" spans="1:20" ht="49.5" customHeight="1">
      <c r="A27" s="48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51"/>
      <c r="O27" s="47"/>
      <c r="P27" s="47"/>
      <c r="Q27" s="32"/>
    </row>
    <row r="28" spans="1:20">
      <c r="A28" s="48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51"/>
      <c r="O28" s="47"/>
      <c r="P28" s="47"/>
      <c r="Q28" s="32"/>
    </row>
    <row r="29" spans="1:20">
      <c r="A29" s="48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51"/>
      <c r="O29" s="47"/>
      <c r="P29" s="47"/>
      <c r="Q29" s="32"/>
    </row>
    <row r="30" spans="1:20">
      <c r="A30" s="48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51"/>
      <c r="O30" s="47"/>
      <c r="P30" s="47"/>
      <c r="Q30" s="32"/>
    </row>
    <row r="31" spans="1:20">
      <c r="A31" s="48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51"/>
      <c r="O31" s="47"/>
      <c r="P31" s="47"/>
      <c r="Q31" s="32"/>
    </row>
    <row r="32" spans="1:20">
      <c r="A32" s="48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51"/>
      <c r="O32" s="32"/>
      <c r="P32" s="32"/>
      <c r="Q32" s="32"/>
    </row>
    <row r="33" spans="1:17">
      <c r="A33" s="48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51"/>
      <c r="O33" s="32"/>
      <c r="P33" s="32"/>
      <c r="Q33" s="32"/>
    </row>
    <row r="34" spans="1:17">
      <c r="A34" s="48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51"/>
      <c r="O34" s="32"/>
      <c r="P34" s="32"/>
      <c r="Q34" s="32"/>
    </row>
    <row r="35" spans="1:17">
      <c r="A35" s="48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51"/>
      <c r="O35" s="32"/>
      <c r="P35" s="32"/>
      <c r="Q35" s="32"/>
    </row>
    <row r="36" spans="1:17">
      <c r="A36" s="48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51"/>
      <c r="O36" s="32"/>
      <c r="P36" s="32"/>
      <c r="Q36" s="32"/>
    </row>
    <row r="37" spans="1:17">
      <c r="A37" s="48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51"/>
      <c r="O37" s="32"/>
      <c r="P37" s="32"/>
      <c r="Q37" s="32"/>
    </row>
    <row r="38" spans="1:17">
      <c r="N38" s="51"/>
      <c r="O38" s="32"/>
      <c r="P38" s="32"/>
      <c r="Q38" s="32"/>
    </row>
    <row r="39" spans="1:17">
      <c r="N39" s="51"/>
    </row>
    <row r="40" spans="1:17">
      <c r="N40" s="51"/>
    </row>
    <row r="41" spans="1:17">
      <c r="N41" s="51"/>
    </row>
  </sheetData>
  <mergeCells count="31">
    <mergeCell ref="B16:C16"/>
    <mergeCell ref="B17:C17"/>
    <mergeCell ref="D11:G11"/>
    <mergeCell ref="D17:G17"/>
    <mergeCell ref="B12:C12"/>
    <mergeCell ref="B13:C13"/>
    <mergeCell ref="D12:G12"/>
    <mergeCell ref="D13:G13"/>
    <mergeCell ref="D14:G14"/>
    <mergeCell ref="D16:G16"/>
    <mergeCell ref="D15:G15"/>
    <mergeCell ref="B15:C15"/>
    <mergeCell ref="L17:M17"/>
    <mergeCell ref="L14:M14"/>
    <mergeCell ref="L16:M16"/>
    <mergeCell ref="L10:M10"/>
    <mergeCell ref="L11:M11"/>
    <mergeCell ref="L13:M13"/>
    <mergeCell ref="L15:M15"/>
    <mergeCell ref="L12:M12"/>
    <mergeCell ref="B10:C10"/>
    <mergeCell ref="D10:G10"/>
    <mergeCell ref="B11:C11"/>
    <mergeCell ref="B14:C14"/>
    <mergeCell ref="M1:M2"/>
    <mergeCell ref="A3:M3"/>
    <mergeCell ref="A5:M5"/>
    <mergeCell ref="D7:H7"/>
    <mergeCell ref="J7:L7"/>
    <mergeCell ref="A1:D2"/>
    <mergeCell ref="E1:L2"/>
  </mergeCells>
  <phoneticPr fontId="0" type="noConversion"/>
  <conditionalFormatting sqref="D11">
    <cfRule type="expression" dxfId="4" priority="14" stopIfTrue="1">
      <formula>IF(#REF!=$F$1743,D11)</formula>
    </cfRule>
  </conditionalFormatting>
  <conditionalFormatting sqref="D12:D14 D17">
    <cfRule type="expression" dxfId="3" priority="326" stopIfTrue="1">
      <formula>IF(#REF!=$F$1743,D12)</formula>
    </cfRule>
  </conditionalFormatting>
  <conditionalFormatting sqref="D15">
    <cfRule type="expression" dxfId="2" priority="2" stopIfTrue="1">
      <formula>IF(#REF!=$F$1743,D15)</formula>
    </cfRule>
  </conditionalFormatting>
  <conditionalFormatting sqref="D16">
    <cfRule type="expression" dxfId="1" priority="1" stopIfTrue="1">
      <formula>IF(#REF!=$F$1743,D16)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4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TIEMPOS PERDIDOS </vt:lpstr>
      <vt:lpstr>FALLAS TAPAS</vt:lpstr>
      <vt:lpstr>DATOS PARETO</vt:lpstr>
      <vt:lpstr>Revisar carrusel de Inserción p</vt:lpstr>
      <vt:lpstr>'Revisar carrusel de Inserción 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oflorez</dc:creator>
  <cp:lastModifiedBy>Diego</cp:lastModifiedBy>
  <cp:lastPrinted>2023-03-03T16:58:33Z</cp:lastPrinted>
  <dcterms:created xsi:type="dcterms:W3CDTF">2011-10-22T16:56:57Z</dcterms:created>
  <dcterms:modified xsi:type="dcterms:W3CDTF">2026-08-11T02:09:34Z</dcterms:modified>
</cp:coreProperties>
</file>