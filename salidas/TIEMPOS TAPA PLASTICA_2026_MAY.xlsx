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637" firstSheet="1" activeTab="1" autoFilterDateGrouping="1"/>
  </bookViews>
  <sheets>
    <sheet name="TPIBPHG11" sheetId="1" state="hidden" r:id="rId1"/>
    <sheet name="tiempos Perdidos TP IBERPLAST" sheetId="2" state="visible" r:id="rId2"/>
    <sheet name="tiempos Mtto Prev TP" sheetId="3" state="visible" r:id="rId3"/>
    <sheet name="tiempos Cambios TP" sheetId="4" state="visible" r:id="rId4"/>
    <sheet name="Trabajos Realizados CCM1" sheetId="5" state="visible" r:id="rId5"/>
    <sheet name="Trabajos Realizados CCM2" sheetId="6" state="visible" r:id="rId6"/>
    <sheet name="Trabajos Realizados CCM3" sheetId="7" state="visible" r:id="rId7"/>
    <sheet name="Trabajos Realizados CCM64-1" sheetId="8" state="visible" r:id="rId8"/>
    <sheet name="Trabajos Realizados CCM64-2" sheetId="9" state="visible" r:id="rId9"/>
    <sheet name="Trabajos Realizados CCM 06" sheetId="10" state="visible" r:id="rId10"/>
    <sheet name="Trabajos Realizados CCM 07" sheetId="11" state="visible" r:id="rId11"/>
    <sheet name="Trabajos Realizados CCM 08" sheetId="12" state="visible" r:id="rId12"/>
    <sheet name="Trabajos Realizados PMV 02" sheetId="13" state="visible" r:id="rId13"/>
    <sheet name="Trabajos Realizados PMV 04" sheetId="14" state="visible" r:id="rId14"/>
  </sheets>
  <externalReferences>
    <externalReference r:id="rId15"/>
    <externalReference r:id="rId16"/>
  </externalReferences>
  <definedNames>
    <definedName name="AÑO">#REF!</definedName>
    <definedName name="C.ORDEN">#REF!</definedName>
    <definedName name="DIA">#REF!</definedName>
    <definedName name="EQUIPO">#REF!</definedName>
    <definedName name="MES">#REF!</definedName>
    <definedName name="No._REQUISICIÓN">#REF!</definedName>
    <definedName name="ORDEN">#REF!</definedName>
    <definedName name="TURNO">#REF!</definedName>
    <definedName name="C.ORDEN" localSheetId="1">[1]PENDIENTES!#REF!</definedName>
    <definedName name="ORDEN" localSheetId="1">'tiempos Perdidos TP IBERPLAST'!#REF!</definedName>
    <definedName name="C.ORDEN" localSheetId="2">[1]PENDIENTES!#REF!</definedName>
    <definedName name="ORDEN" localSheetId="2">'tiempos Mtto Prev TP'!#REF!</definedName>
    <definedName name="C.ORDEN" localSheetId="3">[1]PENDIENTES!#REF!</definedName>
    <definedName name="ORDEN" localSheetId="3">'tiempos Cambios TP'!#REF!</definedName>
    <definedName name="AÑO" localSheetId="4">#REF!</definedName>
    <definedName name="C.ORDEN" localSheetId="4">#REF!</definedName>
    <definedName name="DIA" localSheetId="4">#REF!</definedName>
    <definedName name="EQUIPO" localSheetId="4">#REF!</definedName>
    <definedName name="MES" localSheetId="4">#REF!</definedName>
    <definedName name="No._REQUISICIÓN" localSheetId="4">#REF!</definedName>
    <definedName name="ORDEN" localSheetId="4">#REF!</definedName>
    <definedName name="TURNO" localSheetId="4">#REF!</definedName>
    <definedName name="_xlnm._FilterDatabase" localSheetId="4" hidden="1">'Trabajos Realizados CCM1'!$B$7:$D$19</definedName>
    <definedName name="AÑO" localSheetId="5">#REF!</definedName>
    <definedName name="C.ORDEN" localSheetId="5">#REF!</definedName>
    <definedName name="DIA" localSheetId="5">#REF!</definedName>
    <definedName name="EQUIPO" localSheetId="5">#REF!</definedName>
    <definedName name="MES" localSheetId="5">#REF!</definedName>
    <definedName name="No._REQUISICIÓN" localSheetId="5">#REF!</definedName>
    <definedName name="ORDEN" localSheetId="5">#REF!</definedName>
    <definedName name="TURNO" localSheetId="5">#REF!</definedName>
    <definedName name="_xlnm._FilterDatabase" localSheetId="5" hidden="1">'Trabajos Realizados CCM2'!$B$7:$D$21</definedName>
    <definedName name="ORDEN" localSheetId="6">#REF!</definedName>
    <definedName name="_xlnm._FilterDatabase" localSheetId="6" hidden="1">'Trabajos Realizados CCM3'!$B$7:$D$18</definedName>
    <definedName name="C.ORDEN" localSheetId="7">#REF!</definedName>
    <definedName name="ORDEN" localSheetId="7">#REF!</definedName>
    <definedName name="_xlnm._FilterDatabase" localSheetId="7" hidden="1">'Trabajos Realizados CCM64-1'!$B$7:$D$20</definedName>
    <definedName name="ORDEN" localSheetId="8">#REF!</definedName>
    <definedName name="_xlnm._FilterDatabase" localSheetId="8" hidden="1">'Trabajos Realizados CCM64-2'!$B$7:$D$17</definedName>
    <definedName name="C.ORDEN" localSheetId="12">#REF!</definedName>
    <definedName name="ORDEN" localSheetId="12">#REF!</definedName>
    <definedName name="_xlnm._FilterDatabase" localSheetId="12" hidden="1">'Trabajos Realizados PMV 02'!$B$7:$D$12</definedName>
    <definedName name="C.ORDEN" localSheetId="13">#REF!</definedName>
    <definedName name="ORDEN" localSheetId="13">#REF!</definedName>
    <definedName name="_xlnm._FilterDatabase" localSheetId="13" hidden="1">'Trabajos Realizados PMV 04'!$B$7:$D$13</definedName>
  </definedNames>
  <calcPr calcId="191029" fullCalcOnLoad="1"/>
</workbook>
</file>

<file path=xl/styles.xml><?xml version="1.0" encoding="utf-8"?>
<styleSheet xmlns="http://schemas.openxmlformats.org/spreadsheetml/2006/main">
  <numFmts count="2">
    <numFmt numFmtId="164" formatCode="_(&quot;$&quot;\ * #,##0.00_);_(&quot;$&quot;\ * \(#,##0.00\);_(&quot;$&quot;\ * &quot;-&quot;??_);_(@_)"/>
    <numFmt numFmtId="165" formatCode="h:mm:ss;@"/>
  </numFmts>
  <fonts count="35">
    <font>
      <name val="Calibri"/>
      <family val="2"/>
      <color theme="1"/>
      <sz val="11"/>
      <scheme val="minor"/>
    </font>
    <font>
      <name val="Calibri"/>
      <family val="2"/>
      <color indexed="8"/>
      <sz val="11"/>
    </font>
    <font>
      <name val="Calibri"/>
      <family val="2"/>
      <sz val="8"/>
    </font>
    <font>
      <name val="Calibri"/>
      <family val="2"/>
      <color indexed="12"/>
      <sz val="11"/>
      <u val="single"/>
    </font>
    <font>
      <name val="Calibri"/>
      <family val="2"/>
      <sz val="11"/>
    </font>
    <font>
      <name val="Calibri"/>
      <family val="2"/>
      <b val="1"/>
      <sz val="12"/>
    </font>
    <font>
      <name val="Calibri"/>
      <family val="2"/>
      <sz val="12"/>
    </font>
    <font>
      <name val="Calibri"/>
      <family val="2"/>
      <color indexed="10"/>
      <sz val="13"/>
    </font>
    <font>
      <name val="Calibri"/>
      <family val="2"/>
      <b val="1"/>
      <color indexed="62"/>
      <sz val="14"/>
    </font>
    <font>
      <name val="Calibri"/>
      <family val="2"/>
      <color indexed="12"/>
      <sz val="14"/>
    </font>
    <font>
      <name val="Calibri"/>
      <family val="2"/>
      <b val="1"/>
      <color indexed="62"/>
      <sz val="16"/>
    </font>
    <font>
      <name val="Calibri"/>
      <family val="2"/>
      <color indexed="12"/>
      <sz val="16"/>
    </font>
    <font>
      <name val="Calibri"/>
      <family val="2"/>
      <b val="1"/>
      <sz val="18"/>
    </font>
    <font>
      <name val="Calibri"/>
      <family val="2"/>
      <color indexed="12"/>
      <sz val="8"/>
      <u val="single"/>
    </font>
    <font>
      <name val="Calibri"/>
      <family val="2"/>
      <b val="1"/>
      <color theme="1"/>
      <sz val="12"/>
    </font>
    <font>
      <name val="Arial"/>
      <family val="2"/>
      <sz val="12"/>
    </font>
    <font>
      <name val="Arial"/>
      <family val="2"/>
      <color theme="1"/>
      <sz val="12"/>
    </font>
    <font>
      <name val="Arial"/>
      <family val="2"/>
      <color indexed="10"/>
      <sz val="12"/>
    </font>
    <font>
      <name val="Calibri"/>
      <family val="2"/>
      <b val="1"/>
      <sz val="12"/>
      <scheme val="minor"/>
    </font>
    <font>
      <name val="Arial"/>
      <family val="2"/>
      <color indexed="12"/>
      <sz val="12"/>
    </font>
    <font>
      <name val="Calibri"/>
      <family val="2"/>
      <b val="1"/>
      <color rgb="FFFF0000"/>
      <sz val="11"/>
    </font>
    <font>
      <name val="Calibri"/>
      <family val="2"/>
      <color theme="1"/>
      <sz val="11"/>
      <scheme val="minor"/>
    </font>
    <font>
      <name val="Calibri"/>
      <family val="2"/>
      <sz val="11"/>
      <scheme val="minor"/>
    </font>
    <font>
      <name val="Calibri"/>
      <family val="2"/>
      <color rgb="FFFF0000"/>
      <sz val="11"/>
    </font>
    <font>
      <name val="Calibri"/>
      <family val="2"/>
      <color rgb="FFFF0000"/>
      <sz val="12"/>
      <scheme val="minor"/>
    </font>
    <font>
      <name val="Arial monospaced for SAP"/>
      <family val="3"/>
      <b val="1"/>
      <sz val="10"/>
    </font>
    <font>
      <name val="Arial monospaced for SAP"/>
      <family val="3"/>
      <color indexed="8"/>
      <sz val="10"/>
    </font>
    <font>
      <name val="Arial monospaced for SAP"/>
      <family val="3"/>
      <sz val="10"/>
    </font>
    <font>
      <name val="Arial monospaced for SAP"/>
      <family val="3"/>
      <b val="1"/>
      <color rgb="FFFF0000"/>
      <sz val="10"/>
    </font>
    <font>
      <name val="Arial monospaced for SAP"/>
      <family val="3"/>
      <color theme="1"/>
      <sz val="10"/>
    </font>
    <font>
      <name val="Arial monospaced for SAP"/>
      <sz val="10"/>
    </font>
    <font>
      <name val="Arial monospaced for SAP"/>
      <b val="1"/>
      <sz val="10"/>
    </font>
    <font>
      <name val="Arial monospaced for SAP"/>
      <b val="1"/>
      <color theme="1"/>
      <sz val="10"/>
    </font>
    <font>
      <name val="Arial monospaced for SAP"/>
      <b val="1"/>
      <color rgb="FFFF0000"/>
      <sz val="10"/>
    </font>
    <font>
      <name val="Arial monospaced for SAP"/>
      <b val="1"/>
      <color indexed="8"/>
      <sz val="10"/>
    </font>
  </fonts>
  <fills count="6">
    <fill>
      <patternFill/>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rgb="FF99FFCC"/>
        <bgColor indexed="64"/>
      </patternFill>
    </fill>
  </fills>
  <borders count="19">
    <border>
      <left/>
      <right/>
      <top/>
      <bottom/>
      <diagonal/>
    </border>
    <border>
      <left style="double">
        <color indexed="53"/>
      </left>
      <right style="double">
        <color indexed="53"/>
      </right>
      <top/>
      <bottom style="thin">
        <color indexed="64"/>
      </bottom>
      <diagonal/>
    </border>
    <border>
      <left style="double">
        <color indexed="53"/>
      </left>
      <right style="double">
        <color indexed="53"/>
      </right>
      <top style="thin">
        <color indexed="64"/>
      </top>
      <bottom style="thin">
        <color indexed="64"/>
      </bottom>
      <diagonal/>
    </border>
    <border>
      <left/>
      <right/>
      <top style="thin">
        <color indexed="64"/>
      </top>
      <bottom style="thin">
        <color indexed="64"/>
      </bottom>
      <diagonal/>
    </border>
    <border>
      <left style="double">
        <color indexed="53"/>
      </left>
      <right style="double">
        <color indexed="53"/>
      </right>
      <top style="double">
        <color indexed="53"/>
      </top>
      <bottom style="double">
        <color indexed="53"/>
      </bottom>
      <diagonal/>
    </border>
    <border>
      <left/>
      <right/>
      <top style="thin">
        <color indexed="64"/>
      </top>
      <bottom/>
      <diagonal/>
    </border>
    <border>
      <left style="double">
        <color indexed="53"/>
      </left>
      <right style="double">
        <color indexed="53"/>
      </right>
      <top style="thin">
        <color indexed="64"/>
      </top>
      <bottom style="double">
        <color indexed="53"/>
      </bottom>
      <diagonal/>
    </border>
    <border>
      <left style="double">
        <color theme="9" tint="-0.249946592608417"/>
      </left>
      <right style="double">
        <color theme="9" tint="-0.249946592608417"/>
      </right>
      <top/>
      <bottom style="thin">
        <color indexed="64"/>
      </bottom>
      <diagonal/>
    </border>
    <border>
      <left style="double">
        <color theme="9" tint="-0.249946592608417"/>
      </left>
      <right style="double">
        <color theme="9" tint="-0.249946592608417"/>
      </right>
      <top style="thin">
        <color indexed="64"/>
      </top>
      <bottom style="thin">
        <color indexed="64"/>
      </bottom>
      <diagonal/>
    </border>
    <border>
      <left style="double">
        <color theme="9" tint="-0.249946592608417"/>
      </left>
      <right style="double">
        <color theme="9" tint="-0.249946592608417"/>
      </right>
      <top style="thin">
        <color indexed="64"/>
      </top>
      <bottom/>
      <diagonal/>
    </border>
    <border>
      <left style="double">
        <color theme="9" tint="-0.249946592608417"/>
      </left>
      <right style="double">
        <color theme="9" tint="-0.249946592608417"/>
      </right>
      <top style="double">
        <color theme="9" tint="-0.249946592608417"/>
      </top>
      <bottom style="double">
        <color theme="9" tint="-0.249946592608417"/>
      </bottom>
      <diagonal/>
    </border>
    <border>
      <left style="double">
        <color theme="9" tint="-0.249946592608417"/>
      </left>
      <right style="double">
        <color theme="9" tint="-0.249946592608417"/>
      </right>
      <top/>
      <bottom/>
      <diagonal/>
    </border>
    <border>
      <left style="double">
        <color theme="9" tint="-0.249946592608417"/>
      </left>
      <right style="double">
        <color theme="9" tint="-0.249946592608417"/>
      </right>
      <top style="double">
        <color theme="9" tint="-0.249946592608417"/>
      </top>
      <bottom style="thin">
        <color indexed="64"/>
      </bottom>
      <diagonal/>
    </border>
    <border>
      <left style="double">
        <color theme="9" tint="-0.249946592608417"/>
      </left>
      <right style="double">
        <color theme="9" tint="-0.249946592608417"/>
      </right>
      <top style="thin">
        <color indexed="64"/>
      </top>
      <bottom style="double">
        <color theme="9" tint="-0.249946592608417"/>
      </bottom>
      <diagonal/>
    </border>
    <border>
      <left style="double">
        <color theme="9" tint="-0.249946592608417"/>
      </left>
      <right style="double">
        <color theme="9" tint="-0.249946592608417"/>
      </right>
      <top style="double">
        <color theme="9" tint="-0.249946592608417"/>
      </top>
      <bottom/>
      <diagonal/>
    </border>
    <border>
      <left style="double">
        <color theme="9" tint="-0.249946592608417"/>
      </left>
      <right style="double">
        <color theme="9" tint="-0.249946592608417"/>
      </right>
      <top/>
      <bottom style="double">
        <color theme="9" tint="-0.249946592608417"/>
      </bottom>
      <diagonal/>
    </border>
    <border>
      <left style="double">
        <color theme="9" tint="-0.249946592608417"/>
      </left>
      <right style="double">
        <color indexed="53"/>
      </right>
      <top style="thin">
        <color indexed="64"/>
      </top>
      <bottom style="thin">
        <color indexed="64"/>
      </bottom>
      <diagonal/>
    </border>
    <border>
      <left style="double">
        <color indexed="53"/>
      </left>
      <right style="double">
        <color indexed="53"/>
      </right>
      <top style="thin">
        <color indexed="64"/>
      </top>
      <bottom/>
      <diagonal/>
    </border>
    <border>
      <left style="double">
        <color theme="9" tint="-0.249946592608417"/>
      </left>
      <right/>
      <top/>
      <bottom/>
      <diagonal/>
    </border>
  </borders>
  <cellStyleXfs count="5">
    <xf numFmtId="0" fontId="21" fillId="0" borderId="0"/>
    <xf numFmtId="0" fontId="3" fillId="0" borderId="0" applyAlignment="1" applyProtection="1">
      <alignment vertical="top"/>
      <protection locked="0" hidden="0"/>
    </xf>
    <xf numFmtId="164" fontId="21" fillId="0" borderId="0"/>
    <xf numFmtId="165" fontId="1" fillId="5" borderId="8" applyAlignment="1" applyProtection="1">
      <alignment horizontal="center" vertical="center" wrapText="1"/>
      <protection locked="0" hidden="0"/>
    </xf>
    <xf numFmtId="43" fontId="21" fillId="0" borderId="0"/>
  </cellStyleXfs>
  <cellXfs count="140">
    <xf numFmtId="0" fontId="0" fillId="0" borderId="0" pivotButton="0" quotePrefix="0" xfId="0"/>
    <xf numFmtId="0" fontId="0" fillId="2" borderId="0" pivotButton="0" quotePrefix="0" xfId="0"/>
    <xf numFmtId="0" fontId="4" fillId="3" borderId="2" applyAlignment="1" applyProtection="1" pivotButton="0" quotePrefix="0" xfId="0">
      <alignment horizontal="center" vertical="center" wrapText="1"/>
      <protection locked="0" hidden="0"/>
    </xf>
    <xf numFmtId="0" fontId="4" fillId="3" borderId="3" applyAlignment="1" applyProtection="1" pivotButton="0" quotePrefix="0" xfId="0">
      <alignment horizontal="center" vertical="center" wrapText="1"/>
      <protection locked="0" hidden="0"/>
    </xf>
    <xf numFmtId="0" fontId="0" fillId="3" borderId="0" pivotButton="0" quotePrefix="0" xfId="0"/>
    <xf numFmtId="0" fontId="5" fillId="3" borderId="4" applyAlignment="1" pivotButton="0" quotePrefix="0" xfId="0">
      <alignment horizontal="center" vertical="center" wrapText="1"/>
    </xf>
    <xf numFmtId="0" fontId="4" fillId="3" borderId="4" applyAlignment="1" pivotButton="0" quotePrefix="0" xfId="0">
      <alignment horizontal="center"/>
    </xf>
    <xf numFmtId="1" fontId="7" fillId="3" borderId="4" applyAlignment="1" pivotButton="0" quotePrefix="0" xfId="0">
      <alignment horizontal="center"/>
    </xf>
    <xf numFmtId="15" fontId="10" fillId="2" borderId="7" applyAlignment="1" pivotButton="0" quotePrefix="0" xfId="0">
      <alignment horizontal="center" vertical="center" wrapText="1"/>
    </xf>
    <xf numFmtId="1" fontId="11" fillId="2" borderId="7" applyAlignment="1" pivotButton="0" quotePrefix="0" xfId="0">
      <alignment horizontal="center" vertical="center" wrapText="1"/>
    </xf>
    <xf numFmtId="15" fontId="10" fillId="2" borderId="8" applyAlignment="1" pivotButton="0" quotePrefix="0" xfId="0">
      <alignment horizontal="center" vertical="center" wrapText="1"/>
    </xf>
    <xf numFmtId="1" fontId="11" fillId="2" borderId="8" applyAlignment="1" pivotButton="0" quotePrefix="0" xfId="0">
      <alignment horizontal="center" vertical="center" wrapText="1"/>
    </xf>
    <xf numFmtId="1" fontId="11" fillId="2" borderId="9" applyAlignment="1" pivotButton="0" quotePrefix="0" xfId="0">
      <alignment horizontal="center" vertical="center" wrapText="1"/>
    </xf>
    <xf numFmtId="15" fontId="8" fillId="2" borderId="10" applyAlignment="1" pivotButton="0" quotePrefix="0" xfId="0">
      <alignment horizontal="center" vertical="center" wrapText="1"/>
    </xf>
    <xf numFmtId="1" fontId="12" fillId="2" borderId="10" applyAlignment="1" pivotButton="0" quotePrefix="0" xfId="0">
      <alignment horizontal="center" vertical="center" wrapText="1"/>
    </xf>
    <xf numFmtId="15" fontId="10" fillId="2" borderId="9" applyAlignment="1" pivotButton="0" quotePrefix="0" xfId="0">
      <alignment horizontal="center" vertical="center" wrapText="1"/>
    </xf>
    <xf numFmtId="15" fontId="8" fillId="2" borderId="0" applyAlignment="1" pivotButton="0" quotePrefix="0" xfId="0">
      <alignment horizontal="center" vertical="center" wrapText="1"/>
    </xf>
    <xf numFmtId="1" fontId="12" fillId="2" borderId="0" applyAlignment="1" pivotButton="0" quotePrefix="0" xfId="0">
      <alignment horizontal="center" vertical="center" wrapText="1"/>
    </xf>
    <xf numFmtId="15" fontId="10" fillId="3" borderId="7" applyAlignment="1" pivotButton="0" quotePrefix="0" xfId="0">
      <alignment horizontal="center" vertical="center" wrapText="1"/>
    </xf>
    <xf numFmtId="1" fontId="11" fillId="3" borderId="7" applyAlignment="1" pivotButton="0" quotePrefix="0" xfId="0">
      <alignment horizontal="center" vertical="center" wrapText="1"/>
    </xf>
    <xf numFmtId="15" fontId="10" fillId="3" borderId="8" applyAlignment="1" pivotButton="0" quotePrefix="0" xfId="0">
      <alignment horizontal="center" vertical="center" wrapText="1"/>
    </xf>
    <xf numFmtId="1" fontId="11" fillId="3" borderId="8" applyAlignment="1" pivotButton="0" quotePrefix="0" xfId="0">
      <alignment horizontal="center" vertical="center" wrapText="1"/>
    </xf>
    <xf numFmtId="1" fontId="11" fillId="3" borderId="9" applyAlignment="1" pivotButton="0" quotePrefix="0" xfId="0">
      <alignment horizontal="center" vertical="center" wrapText="1"/>
    </xf>
    <xf numFmtId="15" fontId="8" fillId="3" borderId="10" applyAlignment="1" pivotButton="0" quotePrefix="0" xfId="0">
      <alignment horizontal="center" vertical="center" wrapText="1"/>
    </xf>
    <xf numFmtId="1" fontId="12" fillId="3" borderId="10" applyAlignment="1" pivotButton="0" quotePrefix="0" xfId="0">
      <alignment horizontal="center" vertical="center" wrapText="1"/>
    </xf>
    <xf numFmtId="1" fontId="9" fillId="2" borderId="0" applyAlignment="1" pivotButton="0" quotePrefix="0" xfId="0">
      <alignment horizontal="center" vertical="center" wrapText="1"/>
    </xf>
    <xf numFmtId="1" fontId="11" fillId="2" borderId="11" applyAlignment="1" pivotButton="0" quotePrefix="0" xfId="0">
      <alignment horizontal="center" vertical="center" wrapText="1"/>
    </xf>
    <xf numFmtId="1" fontId="6" fillId="3" borderId="2" applyAlignment="1" applyProtection="1" pivotButton="0" quotePrefix="0" xfId="0">
      <alignment horizontal="center" vertical="center" wrapText="1"/>
      <protection locked="0" hidden="0"/>
    </xf>
    <xf numFmtId="0" fontId="5" fillId="3" borderId="4" applyAlignment="1" applyProtection="1" pivotButton="0" quotePrefix="0" xfId="0">
      <alignment horizontal="center" vertical="center" wrapText="1"/>
      <protection locked="0" hidden="0"/>
    </xf>
    <xf numFmtId="0" fontId="14" fillId="3" borderId="4" applyAlignment="1" pivotButton="0" quotePrefix="0" xfId="0">
      <alignment horizontal="center" vertical="center" wrapText="1"/>
    </xf>
    <xf numFmtId="0" fontId="14" fillId="3" borderId="4"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wrapText="1"/>
      <protection locked="0" hidden="0"/>
    </xf>
    <xf numFmtId="0" fontId="13" fillId="4" borderId="0" applyAlignment="1" pivotButton="0" quotePrefix="0" xfId="1">
      <alignment horizontal="center"/>
    </xf>
    <xf numFmtId="0" fontId="3" fillId="4" borderId="0" applyAlignment="1" pivotButton="0" quotePrefix="0" xfId="1">
      <alignment horizontal="center"/>
    </xf>
    <xf numFmtId="0" fontId="4" fillId="3" borderId="5" applyAlignment="1" applyProtection="1" pivotButton="0" quotePrefix="0" xfId="0">
      <alignment horizontal="center" vertical="center" wrapText="1"/>
      <protection locked="0" hidden="0"/>
    </xf>
    <xf numFmtId="1" fontId="6" fillId="3" borderId="5" applyAlignment="1" applyProtection="1" pivotButton="0" quotePrefix="0" xfId="0">
      <alignment horizontal="center" vertical="center" wrapText="1"/>
      <protection locked="0" hidden="0"/>
    </xf>
    <xf numFmtId="2" fontId="0" fillId="3" borderId="0" pivotButton="0" quotePrefix="0" xfId="0"/>
    <xf numFmtId="2" fontId="0" fillId="3" borderId="0" applyAlignment="1" pivotButton="0" quotePrefix="0" xfId="0">
      <alignment horizontal="center"/>
    </xf>
    <xf numFmtId="1" fontId="0" fillId="3" borderId="0" pivotButton="0" quotePrefix="0" xfId="0"/>
    <xf numFmtId="0" fontId="16" fillId="3" borderId="0" pivotButton="0" quotePrefix="0" xfId="0"/>
    <xf numFmtId="0" fontId="15" fillId="3" borderId="4" applyAlignment="1" pivotButton="0" quotePrefix="0" xfId="0">
      <alignment horizontal="center"/>
    </xf>
    <xf numFmtId="1" fontId="17" fillId="3" borderId="4" applyAlignment="1" pivotButton="0" quotePrefix="0" xfId="0">
      <alignment horizontal="center"/>
    </xf>
    <xf numFmtId="0" fontId="18" fillId="3" borderId="4" applyAlignment="1" pivotButton="0" quotePrefix="0" xfId="0">
      <alignment horizontal="center" vertical="center" wrapText="1"/>
    </xf>
    <xf numFmtId="0" fontId="18" fillId="3" borderId="4" applyAlignment="1" applyProtection="1" pivotButton="0" quotePrefix="0" xfId="0">
      <alignment horizontal="center" vertical="center" wrapText="1"/>
      <protection locked="0" hidden="0"/>
    </xf>
    <xf numFmtId="1" fontId="6" fillId="0" borderId="17" applyAlignment="1" applyProtection="1" pivotButton="0" quotePrefix="0" xfId="0">
      <alignment horizontal="center" vertical="center" wrapText="1"/>
      <protection locked="0" hidden="0"/>
    </xf>
    <xf numFmtId="1" fontId="14" fillId="0" borderId="17" applyAlignment="1" applyProtection="1" pivotButton="0" quotePrefix="0" xfId="0">
      <alignment horizontal="center" vertical="center" wrapText="1"/>
      <protection locked="0" hidden="0"/>
    </xf>
    <xf numFmtId="1" fontId="0" fillId="2" borderId="0" pivotButton="0" quotePrefix="0" xfId="0"/>
    <xf numFmtId="0" fontId="0" fillId="0" borderId="6" applyAlignment="1" pivotButton="0" quotePrefix="0" xfId="0">
      <alignment horizontal="center" vertical="center"/>
    </xf>
    <xf numFmtId="1" fontId="6" fillId="3" borderId="16" applyAlignment="1" applyProtection="1" pivotButton="0" quotePrefix="0" xfId="0">
      <alignment horizontal="center" vertical="center" wrapText="1"/>
      <protection locked="0" hidden="0"/>
    </xf>
    <xf numFmtId="1" fontId="14" fillId="0" borderId="16" applyAlignment="1" applyProtection="1" pivotButton="0" quotePrefix="0" xfId="0">
      <alignment horizontal="center" vertical="center" wrapText="1"/>
      <protection locked="0" hidden="0"/>
    </xf>
    <xf numFmtId="1" fontId="19" fillId="2" borderId="8" applyAlignment="1" pivotButton="0" quotePrefix="0" xfId="1">
      <alignment horizontal="center" vertical="center" wrapText="1"/>
    </xf>
    <xf numFmtId="1" fontId="20" fillId="0" borderId="8" applyAlignment="1" applyProtection="1" pivotButton="0" quotePrefix="0" xfId="0">
      <alignment horizontal="center" vertical="center" wrapText="1"/>
      <protection locked="0" hidden="0"/>
    </xf>
    <xf numFmtId="21" fontId="22" fillId="0" borderId="8" applyAlignment="1" applyProtection="1" pivotButton="0" quotePrefix="0" xfId="0">
      <alignment horizontal="center" vertical="center" wrapText="1"/>
      <protection locked="0" hidden="0"/>
    </xf>
    <xf numFmtId="1" fontId="24" fillId="2" borderId="0" pivotButton="0" quotePrefix="0" xfId="0"/>
    <xf numFmtId="1" fontId="4" fillId="0" borderId="8" applyAlignment="1" applyProtection="1" pivotButton="0" quotePrefix="0" xfId="0">
      <alignment horizontal="center" vertical="center"/>
      <protection locked="0" hidden="0"/>
    </xf>
    <xf numFmtId="1" fontId="20" fillId="0" borderId="8" applyAlignment="1" applyProtection="1" pivotButton="0" quotePrefix="0" xfId="0">
      <alignment horizontal="center" vertical="center"/>
      <protection locked="0" hidden="0"/>
    </xf>
    <xf numFmtId="1" fontId="4" fillId="0" borderId="8" applyAlignment="1" applyProtection="1" pivotButton="0" quotePrefix="0" xfId="0">
      <alignment horizontal="center" vertical="center" wrapText="1"/>
      <protection locked="0" hidden="0"/>
    </xf>
    <xf numFmtId="1" fontId="19" fillId="2" borderId="7" applyAlignment="1" pivotButton="0" quotePrefix="0" xfId="0">
      <alignment horizontal="center" vertical="center" wrapText="1"/>
    </xf>
    <xf numFmtId="0" fontId="25" fillId="0" borderId="1" applyAlignment="1" pivotButton="0" quotePrefix="0" xfId="0">
      <alignment horizontal="center" vertical="center" wrapText="1"/>
    </xf>
    <xf numFmtId="0" fontId="26" fillId="0" borderId="2" applyAlignment="1" applyProtection="1" pivotButton="0" quotePrefix="0" xfId="0">
      <alignment horizontal="center" vertical="center" wrapText="1"/>
      <protection locked="0" hidden="0"/>
    </xf>
    <xf numFmtId="0" fontId="26" fillId="0" borderId="3" applyAlignment="1" applyProtection="1" pivotButton="0" quotePrefix="0" xfId="0">
      <alignment horizontal="center" vertical="center" wrapText="1"/>
      <protection locked="0" hidden="0"/>
    </xf>
    <xf numFmtId="1" fontId="27" fillId="0" borderId="2" applyAlignment="1" applyProtection="1" pivotButton="0" quotePrefix="0" xfId="0">
      <alignment horizontal="center" vertical="center" wrapText="1"/>
      <protection locked="0" hidden="0"/>
    </xf>
    <xf numFmtId="0" fontId="25" fillId="0" borderId="2" applyAlignment="1" pivotButton="0" quotePrefix="0" xfId="0">
      <alignment horizontal="center" vertical="center" wrapText="1"/>
    </xf>
    <xf numFmtId="0" fontId="25" fillId="3" borderId="1" applyAlignment="1" pivotButton="0" quotePrefix="0" xfId="0">
      <alignment horizontal="center" vertical="center" wrapText="1"/>
    </xf>
    <xf numFmtId="0" fontId="26" fillId="0" borderId="8" applyAlignment="1" applyProtection="1" pivotButton="0" quotePrefix="0" xfId="0">
      <alignment horizontal="center" vertical="center" wrapText="1"/>
      <protection locked="0" hidden="0"/>
    </xf>
    <xf numFmtId="1" fontId="27" fillId="0" borderId="8" applyAlignment="1" applyProtection="1" pivotButton="0" quotePrefix="0" xfId="0">
      <alignment horizontal="center" vertical="center" wrapText="1"/>
      <protection locked="0" hidden="0"/>
    </xf>
    <xf numFmtId="0" fontId="25" fillId="3" borderId="2" applyAlignment="1" pivotButton="0" quotePrefix="0" xfId="0">
      <alignment horizontal="center" vertical="center" wrapText="1"/>
    </xf>
    <xf numFmtId="0" fontId="27" fillId="3" borderId="1" applyAlignment="1" pivotButton="0" quotePrefix="0" xfId="0">
      <alignment horizontal="center" vertical="center" wrapText="1"/>
    </xf>
    <xf numFmtId="0" fontId="27" fillId="3" borderId="2" applyAlignment="1" applyProtection="1" pivotButton="0" quotePrefix="0" xfId="0">
      <alignment horizontal="center" vertical="center" wrapText="1"/>
      <protection locked="0" hidden="0"/>
    </xf>
    <xf numFmtId="0" fontId="27" fillId="3" borderId="3" applyAlignment="1" applyProtection="1" pivotButton="0" quotePrefix="0" xfId="0">
      <alignment horizontal="center" vertical="center" wrapText="1"/>
      <protection locked="0" hidden="0"/>
    </xf>
    <xf numFmtId="1" fontId="27" fillId="3" borderId="2" applyAlignment="1" applyProtection="1" pivotButton="0" quotePrefix="0" xfId="0">
      <alignment horizontal="center" vertical="center" wrapText="1"/>
      <protection locked="0" hidden="0"/>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29" fillId="0" borderId="8" applyAlignment="1" applyProtection="1" pivotButton="0" quotePrefix="0" xfId="0">
      <alignment horizontal="center" vertical="center" wrapText="1"/>
      <protection locked="0" hidden="0"/>
    </xf>
    <xf numFmtId="0" fontId="27" fillId="0" borderId="1" applyAlignment="1" pivotButton="0" quotePrefix="0" xfId="0">
      <alignment horizontal="center" vertical="center" wrapText="1"/>
    </xf>
    <xf numFmtId="1" fontId="27" fillId="0" borderId="1" applyAlignment="1" applyProtection="1" pivotButton="0" quotePrefix="0" xfId="0">
      <alignment horizontal="center" vertical="center"/>
      <protection locked="0" hidden="0"/>
    </xf>
    <xf numFmtId="1" fontId="29" fillId="0" borderId="2" applyAlignment="1" applyProtection="1" pivotButton="0" quotePrefix="0" xfId="0">
      <alignment horizontal="center" vertical="center" wrapText="1"/>
      <protection locked="0" hidden="0"/>
    </xf>
    <xf numFmtId="1" fontId="27" fillId="0" borderId="8" applyAlignment="1" applyProtection="1" pivotButton="0" quotePrefix="0" xfId="0">
      <alignment horizontal="center" vertical="center"/>
      <protection locked="0" hidden="0"/>
    </xf>
    <xf numFmtId="21" fontId="29" fillId="0" borderId="8" applyAlignment="1" applyProtection="1" pivotButton="0" quotePrefix="0" xfId="0">
      <alignment horizontal="center" vertical="center" wrapText="1"/>
      <protection locked="0" hidden="0"/>
    </xf>
    <xf numFmtId="0" fontId="27" fillId="0" borderId="8" applyAlignment="1" pivotButton="0" quotePrefix="0" xfId="0">
      <alignment horizontal="center" vertical="center" wrapText="1"/>
    </xf>
    <xf numFmtId="1" fontId="28" fillId="0" borderId="8" applyAlignment="1" applyProtection="1" pivotButton="0" quotePrefix="0" xfId="0">
      <alignment horizontal="center" vertical="center"/>
      <protection locked="0" hidden="0"/>
    </xf>
    <xf numFmtId="1" fontId="28" fillId="0" borderId="8" applyAlignment="1" applyProtection="1" pivotButton="0" quotePrefix="0" xfId="0">
      <alignment horizontal="center" vertical="center" wrapText="1"/>
      <protection locked="0" hidden="0"/>
    </xf>
    <xf numFmtId="0" fontId="29" fillId="0" borderId="1" applyAlignment="1" pivotButton="0" quotePrefix="0" xfId="0">
      <alignment horizontal="center" vertical="center" wrapText="1"/>
    </xf>
    <xf numFmtId="1" fontId="27" fillId="0" borderId="1" applyAlignment="1" applyProtection="1" pivotButton="0" quotePrefix="0" xfId="0">
      <alignment horizontal="center" vertical="center" wrapText="1"/>
      <protection locked="0" hidden="0"/>
    </xf>
    <xf numFmtId="0" fontId="29" fillId="0" borderId="2" applyAlignment="1" pivotButton="0" quotePrefix="0" xfId="0">
      <alignment horizontal="center" vertical="center" wrapText="1"/>
    </xf>
    <xf numFmtId="0" fontId="29" fillId="3" borderId="1" applyAlignment="1" pivotButton="0" quotePrefix="0" xfId="0">
      <alignment horizontal="center" vertical="center" wrapText="1"/>
    </xf>
    <xf numFmtId="0" fontId="26" fillId="0" borderId="1" applyAlignment="1" applyProtection="1" pivotButton="0" quotePrefix="0" xfId="0">
      <alignment horizontal="center" vertical="center" wrapText="1"/>
      <protection locked="0" hidden="0"/>
    </xf>
    <xf numFmtId="0" fontId="29" fillId="3" borderId="2" applyAlignment="1" pivotButton="0" quotePrefix="0" xfId="0">
      <alignment horizontal="center" vertical="center" wrapText="1"/>
    </xf>
    <xf numFmtId="0" fontId="26" fillId="0" borderId="3" applyAlignment="1" applyProtection="1" pivotButton="0" quotePrefix="0" xfId="0">
      <alignment horizontal="left" vertical="center" wrapText="1"/>
      <protection locked="0" hidden="0"/>
    </xf>
    <xf numFmtId="0" fontId="28" fillId="0" borderId="8" applyAlignment="1" pivotButton="0" quotePrefix="0" xfId="0">
      <alignment horizontal="center" vertical="center" wrapText="1"/>
    </xf>
    <xf numFmtId="1" fontId="27" fillId="3" borderId="17" applyAlignment="1" applyProtection="1" pivotButton="0" quotePrefix="0" xfId="0">
      <alignment horizontal="center" vertical="center" wrapText="1"/>
      <protection locked="0" hidden="0"/>
    </xf>
    <xf numFmtId="0" fontId="27" fillId="0" borderId="2" applyAlignment="1" applyProtection="1" pivotButton="0" quotePrefix="0" xfId="0">
      <alignment horizontal="center" vertical="center" wrapText="1"/>
      <protection locked="0" hidden="0"/>
    </xf>
    <xf numFmtId="0" fontId="27" fillId="0" borderId="8" applyAlignment="1" applyProtection="1" pivotButton="0" quotePrefix="0" xfId="0">
      <alignment horizontal="center" vertical="center"/>
      <protection locked="0" hidden="0"/>
    </xf>
    <xf numFmtId="0" fontId="27" fillId="0" borderId="2" applyAlignment="1" pivotButton="0" quotePrefix="0" xfId="0">
      <alignment horizontal="left" vertical="center" wrapText="1"/>
    </xf>
    <xf numFmtId="0" fontId="23" fillId="0" borderId="8" applyAlignment="1" applyProtection="1" pivotButton="0" quotePrefix="0" xfId="0">
      <alignment horizontal="center" vertical="center" wrapText="1"/>
      <protection locked="0" hidden="0"/>
    </xf>
    <xf numFmtId="0" fontId="27" fillId="0" borderId="8" applyAlignment="1" pivotButton="0" quotePrefix="0" xfId="0">
      <alignment vertical="center" wrapText="1"/>
    </xf>
    <xf numFmtId="1" fontId="4" fillId="0" borderId="2" applyAlignment="1" applyProtection="1" pivotButton="0" quotePrefix="0" xfId="0">
      <alignment horizontal="center" vertical="center" wrapText="1"/>
      <protection locked="0" hidden="0"/>
    </xf>
    <xf numFmtId="0" fontId="26" fillId="0" borderId="3" applyAlignment="1" applyProtection="1" pivotButton="0" quotePrefix="0" xfId="0">
      <alignment vertical="center" wrapText="1"/>
      <protection locked="0" hidden="0"/>
    </xf>
    <xf numFmtId="0" fontId="26" fillId="0" borderId="8" applyAlignment="1" applyProtection="1" pivotButton="0" quotePrefix="0" xfId="0">
      <alignment horizontal="left" vertical="center" wrapText="1"/>
      <protection locked="0" hidden="0"/>
    </xf>
    <xf numFmtId="0" fontId="27" fillId="3" borderId="2" applyAlignment="1" pivotButton="0" quotePrefix="0" xfId="0">
      <alignment horizontal="center" vertical="center" wrapText="1"/>
    </xf>
    <xf numFmtId="1" fontId="27" fillId="3" borderId="8" applyAlignment="1" applyProtection="1" pivotButton="0" quotePrefix="0" xfId="0">
      <alignment horizontal="center" vertical="center"/>
      <protection locked="0" hidden="0"/>
    </xf>
    <xf numFmtId="0" fontId="27" fillId="3" borderId="2" applyAlignment="1" applyProtection="1" pivotButton="0" quotePrefix="0" xfId="0">
      <alignment horizontal="center" vertical="center"/>
      <protection locked="0" hidden="0"/>
    </xf>
    <xf numFmtId="0" fontId="27" fillId="0" borderId="8" applyAlignment="1" pivotButton="0" quotePrefix="0" xfId="0">
      <alignment horizontal="left" vertical="center" wrapText="1"/>
    </xf>
    <xf numFmtId="1" fontId="27" fillId="0" borderId="2" applyAlignment="1" applyProtection="1" pivotButton="0" quotePrefix="0" xfId="0">
      <alignment horizontal="left" vertical="top" wrapText="1"/>
      <protection locked="0" hidden="0"/>
    </xf>
    <xf numFmtId="1" fontId="27" fillId="0" borderId="8" applyAlignment="1" applyProtection="1" pivotButton="0" quotePrefix="0" xfId="0">
      <alignment horizontal="left" vertical="center" wrapText="1"/>
      <protection locked="0" hidden="0"/>
    </xf>
    <xf numFmtId="0" fontId="31" fillId="0" borderId="2" applyAlignment="1" pivotButton="0" quotePrefix="0" xfId="0">
      <alignment horizontal="center" vertical="center" wrapText="1"/>
    </xf>
    <xf numFmtId="0" fontId="30" fillId="3" borderId="1" applyAlignment="1" pivotButton="0" quotePrefix="0" xfId="0">
      <alignment horizontal="center" vertical="center" wrapText="1"/>
    </xf>
    <xf numFmtId="0" fontId="30" fillId="0" borderId="1" applyAlignment="1" pivotButton="0" quotePrefix="0" xfId="0">
      <alignment horizontal="center" vertical="center" wrapText="1"/>
    </xf>
    <xf numFmtId="0" fontId="32" fillId="0" borderId="8" applyAlignment="1" applyProtection="1" pivotButton="0" quotePrefix="0" xfId="0">
      <alignment horizontal="center" vertical="center" wrapText="1"/>
      <protection locked="0" hidden="0"/>
    </xf>
    <xf numFmtId="0" fontId="33" fillId="0" borderId="2" applyAlignment="1" pivotButton="0" quotePrefix="0" xfId="0">
      <alignment horizontal="center" vertical="center" wrapText="1"/>
    </xf>
    <xf numFmtId="1" fontId="20" fillId="0" borderId="2" applyAlignment="1" applyProtection="1" pivotButton="0" quotePrefix="0" xfId="0">
      <alignment horizontal="center" vertical="center" wrapText="1"/>
      <protection locked="0" hidden="0"/>
    </xf>
    <xf numFmtId="0" fontId="20" fillId="0" borderId="8" applyAlignment="1" applyProtection="1" pivotButton="0" quotePrefix="0" xfId="0">
      <alignment horizontal="center" vertical="center" wrapText="1"/>
      <protection locked="0" hidden="0"/>
    </xf>
    <xf numFmtId="0" fontId="33" fillId="0" borderId="8" applyAlignment="1" applyProtection="1" pivotButton="0" quotePrefix="0" xfId="0">
      <alignment horizontal="center" vertical="center"/>
      <protection locked="0" hidden="0"/>
    </xf>
    <xf numFmtId="0" fontId="33" fillId="0" borderId="8" applyAlignment="1" pivotButton="0" quotePrefix="0" xfId="0">
      <alignment horizontal="center" vertical="center" wrapText="1"/>
    </xf>
    <xf numFmtId="1" fontId="33" fillId="0" borderId="8" applyAlignment="1" applyProtection="1" pivotButton="0" quotePrefix="0" xfId="0">
      <alignment horizontal="center" vertical="center" wrapText="1"/>
      <protection locked="0" hidden="0"/>
    </xf>
    <xf numFmtId="0" fontId="31" fillId="0" borderId="1" applyAlignment="1" pivotButton="0" quotePrefix="0" xfId="0">
      <alignment horizontal="center" vertical="center" wrapText="1"/>
    </xf>
    <xf numFmtId="1" fontId="31" fillId="0" borderId="1" applyAlignment="1" applyProtection="1" pivotButton="0" quotePrefix="0" xfId="0">
      <alignment horizontal="center" vertical="center" wrapText="1"/>
      <protection locked="0" hidden="0"/>
    </xf>
    <xf numFmtId="0" fontId="33" fillId="3" borderId="2" applyAlignment="1" applyProtection="1" pivotButton="0" quotePrefix="0" xfId="0">
      <alignment horizontal="center" vertical="center"/>
      <protection locked="0" hidden="0"/>
    </xf>
    <xf numFmtId="0" fontId="33" fillId="3" borderId="8" applyAlignment="1" applyProtection="1" pivotButton="0" quotePrefix="0" xfId="0">
      <alignment horizontal="center" vertical="center"/>
      <protection locked="0" hidden="0"/>
    </xf>
    <xf numFmtId="1" fontId="32" fillId="0" borderId="16" applyAlignment="1" applyProtection="1" pivotButton="0" quotePrefix="0" xfId="0">
      <alignment horizontal="center" vertical="center" wrapText="1"/>
      <protection locked="0" hidden="0"/>
    </xf>
    <xf numFmtId="1" fontId="31" fillId="0" borderId="16" applyAlignment="1" applyProtection="1" pivotButton="0" quotePrefix="0" xfId="0">
      <alignment horizontal="center" vertical="center"/>
      <protection locked="0" hidden="0"/>
    </xf>
    <xf numFmtId="0" fontId="31" fillId="0" borderId="2" applyAlignment="1" applyProtection="1" pivotButton="0" quotePrefix="0" xfId="0">
      <alignment horizontal="center" vertical="center" wrapText="1"/>
      <protection locked="0" hidden="0"/>
    </xf>
    <xf numFmtId="0" fontId="32" fillId="0" borderId="2" applyAlignment="1" pivotButton="0" quotePrefix="0" xfId="0">
      <alignment horizontal="center" vertical="center" wrapText="1"/>
    </xf>
    <xf numFmtId="1" fontId="31" fillId="3" borderId="2" applyAlignment="1" applyProtection="1" pivotButton="0" quotePrefix="0" xfId="0">
      <alignment horizontal="center" vertical="center" wrapText="1"/>
      <protection locked="0" hidden="0"/>
    </xf>
    <xf numFmtId="0" fontId="31" fillId="3" borderId="1" applyAlignment="1" pivotButton="0" quotePrefix="0" xfId="0">
      <alignment horizontal="center" vertical="center" wrapText="1"/>
    </xf>
    <xf numFmtId="0" fontId="34" fillId="0" borderId="1" applyAlignment="1" applyProtection="1" pivotButton="0" quotePrefix="0" xfId="0">
      <alignment horizontal="center" vertical="center" wrapText="1"/>
      <protection locked="0" hidden="0"/>
    </xf>
    <xf numFmtId="0" fontId="34" fillId="0" borderId="2" applyAlignment="1" applyProtection="1" pivotButton="0" quotePrefix="0" xfId="0">
      <alignment horizontal="center" vertical="center" wrapText="1"/>
      <protection locked="0" hidden="0"/>
    </xf>
    <xf numFmtId="0" fontId="8" fillId="2" borderId="12" applyAlignment="1" pivotButton="0" quotePrefix="0" xfId="0">
      <alignment horizontal="center" vertical="center" wrapText="1"/>
    </xf>
    <xf numFmtId="0" fontId="8" fillId="2" borderId="13" applyAlignment="1" pivotButton="0" quotePrefix="0" xfId="0">
      <alignment horizontal="center" vertical="center" wrapText="1"/>
    </xf>
    <xf numFmtId="0" fontId="8" fillId="3" borderId="12" applyAlignment="1" pivotButton="0" quotePrefix="0" xfId="0">
      <alignment horizontal="center" vertical="center" wrapText="1"/>
    </xf>
    <xf numFmtId="0" fontId="8" fillId="3" borderId="13" applyAlignment="1" pivotButton="0" quotePrefix="0" xfId="0">
      <alignment horizontal="center" vertical="center" wrapText="1"/>
    </xf>
    <xf numFmtId="0" fontId="8" fillId="2" borderId="14" applyAlignment="1" pivotButton="0" quotePrefix="0" xfId="0">
      <alignment horizontal="center" vertical="center" wrapText="1"/>
    </xf>
    <xf numFmtId="0" fontId="8" fillId="2" borderId="15" applyAlignment="1" pivotButton="0" quotePrefix="0" xfId="0">
      <alignment horizontal="center" vertical="center" wrapText="1"/>
    </xf>
    <xf numFmtId="0" fontId="3" fillId="2" borderId="14" applyAlignment="1" pivotButton="0" quotePrefix="0" xfId="1">
      <alignment horizontal="center" vertical="center" wrapText="1"/>
    </xf>
    <xf numFmtId="0" fontId="3" fillId="2" borderId="15" applyAlignment="1" pivotButton="0" quotePrefix="0" xfId="1">
      <alignment horizontal="center" vertical="center" wrapText="1"/>
    </xf>
    <xf numFmtId="1" fontId="3" fillId="4" borderId="0" applyAlignment="1" pivotButton="0" quotePrefix="0" xfId="1">
      <alignment horizontal="center" vertical="center" wrapText="1"/>
    </xf>
    <xf numFmtId="0" fontId="0" fillId="0" borderId="7" pivotButton="0" quotePrefix="0" xfId="0"/>
    <xf numFmtId="0" fontId="8" fillId="2" borderId="10" applyAlignment="1" pivotButton="0" quotePrefix="0" xfId="0">
      <alignment horizontal="center" vertical="center" wrapText="1"/>
    </xf>
    <xf numFmtId="0" fontId="0" fillId="0" borderId="15" pivotButton="0" quotePrefix="0" xfId="0"/>
    <xf numFmtId="0" fontId="3" fillId="2" borderId="10" applyAlignment="1" pivotButton="0" quotePrefix="0" xfId="1">
      <alignment horizontal="center" vertical="center" wrapText="1"/>
    </xf>
  </cellXfs>
  <cellStyles count="5">
    <cellStyle name="Normal" xfId="0" builtinId="0"/>
    <cellStyle name="Hipervínculo" xfId="1" builtinId="8"/>
    <cellStyle name="Moneda 2" xfId="2"/>
    <cellStyle name="Estilo 1" xfId="3"/>
    <cellStyle name="Millares 2" xfId="4"/>
  </cellStyles>
  <dxfs count="4">
    <dxf>
      <font>
        <b val="1"/>
        <condense val="0"/>
        <color indexed="10"/>
        <extend val="0"/>
      </font>
    </dxf>
    <dxf>
      <font>
        <b val="1"/>
        <condense val="0"/>
        <color indexed="10"/>
        <extend val="0"/>
      </font>
    </dxf>
    <dxf>
      <font>
        <b val="1"/>
        <condense val="0"/>
        <color indexed="10"/>
        <extend val="0"/>
      </font>
    </dxf>
    <dxf>
      <font>
        <b val="1"/>
        <condense val="0"/>
        <color indexed="10"/>
        <extend val="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externalLink" Target="/xl/externalLinks/externalLink1.xml" Id="rId15" /><Relationship Type="http://schemas.openxmlformats.org/officeDocument/2006/relationships/externalLink" Target="/xl/externalLinks/externalLink2.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CMMS Industrial</author>
  </authors>
  <commentList>
    <comment ref="H10" authorId="0" shapeId="0">
      <text>
        <t>fuga de agua</t>
      </text>
    </comment>
    <comment ref="C13" authorId="0" shapeId="0">
      <text>
        <t>Revision zonas boquilla y cuerpo casquilo se suben de temperatura por encima del set poin.</t>
      </text>
    </comment>
    <comment ref="D13" authorId="0" shapeId="0">
      <text>
        <t>BLOQUEO POR ALARMA CONTROLADOR SP20</t>
      </text>
    </comment>
    <comment ref="F13" authorId="0" shapeId="0">
      <text>
        <t>PERDIDA DE SINCRONISMO FSM</t>
      </text>
    </comment>
    <comment ref="H13" authorId="0" shapeId="0">
      <text>
        <t>Revision daño de racor punzon #39 (fuga de agua)</t>
      </text>
    </comment>
    <comment ref="C14" authorId="0" shapeId="0">
      <text>
        <t>Entortamiento carrusel de insercion.</t>
      </text>
    </comment>
    <comment ref="D14" authorId="0" shapeId="0">
      <text>
        <t>1. Parada por alarma SP18
2. Bajar Encoder  Carrusel de Corte en la FSM 3
3. Cambiar encoder carrusel en la FSM 3 Por que se paso para habilitar la FMS 5 CCM5
4. Alarma SP20</t>
      </text>
    </comment>
    <comment ref="F14" authorId="0" shapeId="0">
      <text>
        <t>FALLA SINCRONISMO CARRUSELES</t>
      </text>
    </comment>
    <comment ref="C15" authorId="0" shapeId="0">
      <text>
        <t>Entortamiento carrusel de insercion.</t>
      </text>
    </comment>
    <comment ref="D15" authorId="0" shapeId="0">
      <text>
        <t>1. Alarma SP20
2. alarma BQ8 encoder</t>
      </text>
    </comment>
    <comment ref="G15" authorId="0" shapeId="0">
      <text>
        <t>1. tapa con anillo doblado recalentamiento en punzon
2. bloque de presion en tapa deformada refrigeracion en punzones defisiente</t>
      </text>
    </comment>
    <comment ref="B16" authorId="0" shapeId="0">
      <text>
        <t>Revision calbibracion de cuchillas</t>
      </text>
    </comment>
    <comment ref="D16" authorId="0" shapeId="0">
      <text>
        <t>1. Temperatura alta en la zona de la bomba y fuga de agua cavidad 14.
2. Temperatura alta en la zona de la bomba y fuga de ahua cavidad 14.</t>
      </text>
    </comment>
    <comment ref="B17" authorId="0" shapeId="0">
      <text>
        <t>Revision pantalla CVS - No prende</t>
      </text>
    </comment>
    <comment ref="G17" authorId="0" shapeId="0">
      <text>
        <t>DAÑO ACOPLE MANGUERA TERMOREGULADOR</t>
      </text>
    </comment>
    <comment ref="B18" authorId="0" shapeId="0">
      <text>
        <t>Falta de dosis, revision carrusel de insercion</t>
      </text>
    </comment>
    <comment ref="C18" authorId="0" shapeId="0">
      <text>
        <t>Revivion de carrusel de insercion alarma SQ18</t>
      </text>
    </comment>
    <comment ref="D18" authorId="0" shapeId="0">
      <text>
        <t>fuga de agua cavidad #16</t>
      </text>
    </comment>
    <comment ref="G18" authorId="0" shapeId="0">
      <text>
        <t>falla termoregulador temperatura alta</t>
      </text>
    </comment>
    <comment ref="C19" authorId="0" shapeId="0">
      <text>
        <t>Revivion de carrusel de insercion alarma SQ18</t>
      </text>
    </comment>
    <comment ref="G19" authorId="0" shapeId="0">
      <text>
        <t>falla termoregulador temperatura alta</t>
      </text>
    </comment>
    <comment ref="B20" authorId="0" shapeId="0">
      <text>
        <t>Revision motor centralita.</t>
      </text>
    </comment>
    <comment ref="I20" authorId="0" shapeId="0">
      <text>
        <t>1. punzon # 30 y 31 con humedad
2. Humedad en punzones 30 y 31</t>
      </text>
    </comment>
    <comment ref="C21" authorId="0" shapeId="0">
      <text>
        <t>Revision y cambio punzones posicion # 12 y # 16 presenta rechupe</t>
      </text>
    </comment>
    <comment ref="E22" authorId="0" shapeId="0">
      <text>
        <t>Revision Cavidad y Punzon No 60 Por Golpe</t>
      </text>
    </comment>
    <comment ref="E23" authorId="0" shapeId="0">
      <text>
        <t>Revision Cavidad y Punzon No 60 Por Golpe</t>
      </text>
    </comment>
    <comment ref="F25" authorId="0" shapeId="0">
      <text>
        <t>1. revision punzon # 15 y 48 por golpe
2. punzones golpeados</t>
      </text>
    </comment>
    <comment ref="I25" authorId="0" shapeId="0">
      <text>
        <t>Alarma BQ8 en FSM y fallaBY-PASS</t>
      </text>
    </comment>
    <comment ref="B27" authorId="0" shapeId="0">
      <text>
        <t>Falla FSM de Sincronismo</t>
      </text>
    </comment>
    <comment ref="E29" authorId="0" shapeId="0">
      <text>
        <t>falla por alarma 3024 controla sp5v</t>
      </text>
    </comment>
    <comment ref="C30" authorId="0" shapeId="0">
      <text>
        <t>1. revision cavida 15 por fuga aceite, revision carrusel de insercion |por tapa doblada
2. tapa golpeada, error sincronizacion
3. Revisicion cavidad #15 por falla en la inspeccion del palley</t>
      </text>
    </comment>
    <comment ref="C31" authorId="0" shapeId="0">
      <text>
        <t>Falla por sincronizacion en la fsm</t>
      </text>
    </comment>
    <comment ref="B32" authorId="0" shapeId="0">
      <text>
        <t>Revision fuga material tornillo estrusor</t>
      </text>
    </comment>
    <comment ref="D32" authorId="0" shapeId="0">
      <text>
        <t>Falta de grasa en la  FSM</t>
      </text>
    </comment>
    <comment ref="C33" authorId="0" shapeId="0">
      <text>
        <t>Parada por alarma BQ8 en la FSM</t>
      </text>
    </comment>
    <comment ref="F33" authorId="0" shapeId="0">
      <text>
        <t>Revision punzon y cavidad # 2 por golpe</t>
      </text>
    </comment>
    <comment ref="C34" authorId="0" shapeId="0">
      <text>
        <t>Parada por alarma BQ8 en la FSM</t>
      </text>
    </comment>
    <comment ref="E36" authorId="0" shapeId="0">
      <text>
        <t>Parada Por Leve Golpe Punzon No 5</t>
      </text>
    </comment>
    <comment ref="B37" authorId="0" shapeId="0">
      <text>
        <t>Revisar alarma SP19</t>
      </text>
    </comment>
    <comment ref="E37" authorId="0" shapeId="0">
      <text>
        <t>1. Punzon 46 posicion 5 concavidad alta.
2. Revisionpunzon # 46 posicion # 5 por concavidad alta</t>
      </text>
    </comment>
    <comment ref="E38" authorId="0" shapeId="0">
      <text>
        <t>Revision punzones #43 - #41 por rebaba posicion #5 - #41</t>
      </text>
    </comment>
    <comment ref="C39" authorId="0" shapeId="0">
      <text>
        <t>punzon # 4 por concavidad fuera de norma</t>
      </text>
    </comment>
  </commentList>
</comments>
</file>

<file path=xl/comments/comment2.xml><?xml version="1.0" encoding="utf-8"?>
<comments xmlns="http://schemas.openxmlformats.org/spreadsheetml/2006/main">
  <authors>
    <author>CMMS Industrial</author>
  </authors>
  <commentList>
    <comment ref="B16" authorId="0" shapeId="0">
      <text>
        <t>Mantenimiento preventivo quincenal</t>
      </text>
    </comment>
    <comment ref="D17" authorId="0" shapeId="0">
      <text>
        <t>Mantenimiento preventivo mensual</t>
      </text>
    </comment>
    <comment ref="G18" authorId="0" shapeId="0">
      <text>
        <t>Mantenimiento preventivo quincenal</t>
      </text>
    </comment>
    <comment ref="I24" authorId="0" shapeId="0">
      <text>
        <t>Mantenimiento preventivo mensual</t>
      </text>
    </comment>
    <comment ref="H25" authorId="0" shapeId="0">
      <text>
        <t>Mantenimiento preventivo mensual</t>
      </text>
    </comment>
    <comment ref="F26" authorId="0" shapeId="0">
      <text>
        <t>Mantenimiento preventivo quincenal</t>
      </text>
    </comment>
    <comment ref="F37" authorId="0" shapeId="0">
      <text>
        <t>Mantenimiento preventivo trimestral</t>
      </text>
    </comment>
    <comment ref="F38" authorId="0" shapeId="0">
      <text>
        <t>Mantenimiento preventivo trimestral</t>
      </text>
    </comment>
    <comment ref="F39" authorId="0" shapeId="0">
      <text>
        <t>Mantenimiento preventivo trimestral</t>
      </text>
    </comment>
    <comment ref="F40" authorId="0" shapeId="0">
      <text>
        <t>Mantenimiento preventivo trimestral</t>
      </text>
    </comment>
    <comment ref="F41" authorId="0" shapeId="0">
      <text>
        <t>Mantenimiento preventivo trimestral</t>
      </text>
    </comment>
  </commentList>
</comments>
</file>

<file path=xl/comments/comment3.xml><?xml version="1.0" encoding="utf-8"?>
<comments xmlns="http://schemas.openxmlformats.org/spreadsheetml/2006/main">
  <authors>
    <author>CMMS Industrial</author>
  </authors>
  <commentList>
    <comment ref="C19" authorId="0" shapeId="0">
      <text>
        <t>Cambio de referencia</t>
      </text>
    </comment>
    <comment ref="C20" authorId="0" shapeId="0">
      <text>
        <t>Cambio a tapa VIDRIO MCA</t>
      </text>
    </comment>
    <comment ref="C21" authorId="0" shapeId="0">
      <text>
        <t>Cambio a tapa VIDRIO MCA</t>
      </text>
    </comment>
    <comment ref="C28" authorId="0" shapeId="0">
      <text>
        <t>Cambio de referencia vidrio a PRB</t>
      </text>
    </comment>
    <comment ref="C35" authorId="0" shapeId="0">
      <text>
        <t>1. Cambio de referencia de PET PRB a MCA vidrio
2. cambio de referencia de PRB a VIDRIO</t>
      </text>
    </comment>
  </commentList>
</comments>
</file>

<file path=xl/externalLinks/_rels/externalLink1.xml.rels><Relationships xmlns="http://schemas.openxmlformats.org/package/2006/relationships"><Relationship Type="http://schemas.openxmlformats.org/officeDocument/2006/relationships/externalLinkPath" Target="/Documents%20and%20Settings/wortiz/Configuraci&#243;n%20local/Archivos%20temporales%20de%20Internet/OLK2A5/entrega%20de%20turno%20septiembre.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wortiz/Mis%20documentos/Walter/Para%20Presentar/2011/Abril/Para%20Presentar/Noviembre/Tiempos%20Perdidos%20Noviembre%202010%20PLANTAS%20IBERPLAST.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Trabajos Realizados"/>
      <sheetName val="PENDIENTES"/>
    </sheetNames>
    <sheetDataSet>
      <sheetData sheetId="0"/>
      <sheetData sheetId="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TPIBPHG"/>
      <sheetName val="tiempos Perdidos IBERPLAST"/>
      <sheetName val="Trabajos Realizados BQuilla"/>
      <sheetName val="Trabajos Realizados Bello"/>
      <sheetName val="Trabajos Realizados B8-1"/>
      <sheetName val="Trabajos Realizados B8-3"/>
      <sheetName val="Trabajos Realizados B14"/>
      <sheetName val="Trabajos Realizados HOT FIL"/>
      <sheetName val="Trabajos Realizados Yumbo"/>
    </sheetNames>
    <sheetDataSet>
      <sheetData sheetId="0"/>
      <sheetData sheetId="1">
        <row r="9">
          <cell r="B9">
            <v>0</v>
          </cell>
          <cell r="C9">
            <v>54</v>
          </cell>
          <cell r="D9">
            <v>3</v>
          </cell>
          <cell r="E9">
            <v>10</v>
          </cell>
          <cell r="F9">
            <v>0</v>
          </cell>
          <cell r="G9">
            <v>0</v>
          </cell>
          <cell r="H9">
            <v>69</v>
          </cell>
          <cell r="I9">
            <v>0</v>
          </cell>
          <cell r="J9">
            <v>100</v>
          </cell>
          <cell r="K9">
            <v>15</v>
          </cell>
          <cell r="L9">
            <v>12</v>
          </cell>
          <cell r="M9">
            <v>93</v>
          </cell>
          <cell r="N9">
            <v>0</v>
          </cell>
          <cell r="O9">
            <v>0</v>
          </cell>
          <cell r="P9">
            <v>0</v>
          </cell>
          <cell r="Q9">
            <v>22</v>
          </cell>
          <cell r="R9">
            <v>70</v>
          </cell>
          <cell r="S9">
            <v>208</v>
          </cell>
          <cell r="T9">
            <v>56</v>
          </cell>
          <cell r="U9">
            <v>0</v>
          </cell>
          <cell r="V9">
            <v>0</v>
          </cell>
          <cell r="W9">
            <v>24</v>
          </cell>
          <cell r="X9">
            <v>6</v>
          </cell>
          <cell r="Y9">
            <v>280</v>
          </cell>
          <cell r="Z9">
            <v>101</v>
          </cell>
          <cell r="AA9">
            <v>0</v>
          </cell>
          <cell r="AB9">
            <v>0</v>
          </cell>
          <cell r="AC9">
            <v>0</v>
          </cell>
          <cell r="AD9">
            <v>0</v>
          </cell>
          <cell r="AE9">
            <v>0</v>
          </cell>
        </row>
        <row r="10">
          <cell r="B10">
            <v>0</v>
          </cell>
          <cell r="C10">
            <v>8</v>
          </cell>
          <cell r="D10">
            <v>0</v>
          </cell>
          <cell r="E10">
            <v>0</v>
          </cell>
          <cell r="F10">
            <v>13</v>
          </cell>
          <cell r="G10">
            <v>110</v>
          </cell>
          <cell r="H10">
            <v>20</v>
          </cell>
          <cell r="I10">
            <v>0</v>
          </cell>
          <cell r="J10">
            <v>20</v>
          </cell>
          <cell r="K10">
            <v>3</v>
          </cell>
          <cell r="L10">
            <v>2</v>
          </cell>
          <cell r="M10">
            <v>20</v>
          </cell>
          <cell r="N10">
            <v>3</v>
          </cell>
          <cell r="O10">
            <v>0</v>
          </cell>
          <cell r="P10">
            <v>35</v>
          </cell>
          <cell r="Q10">
            <v>12</v>
          </cell>
          <cell r="R10">
            <v>7</v>
          </cell>
          <cell r="S10">
            <v>32</v>
          </cell>
          <cell r="T10">
            <v>0</v>
          </cell>
          <cell r="U10">
            <v>0</v>
          </cell>
          <cell r="V10">
            <v>0</v>
          </cell>
          <cell r="W10">
            <v>24</v>
          </cell>
          <cell r="X10">
            <v>5</v>
          </cell>
          <cell r="Y10">
            <v>32</v>
          </cell>
          <cell r="Z10">
            <v>5</v>
          </cell>
          <cell r="AA10">
            <v>5</v>
          </cell>
          <cell r="AB10">
            <v>2</v>
          </cell>
          <cell r="AC10">
            <v>5</v>
          </cell>
          <cell r="AD10">
            <v>12</v>
          </cell>
          <cell r="AE10">
            <v>17</v>
          </cell>
        </row>
        <row r="11">
          <cell r="B11">
            <v>0</v>
          </cell>
          <cell r="C11">
            <v>0</v>
          </cell>
          <cell r="D11">
            <v>30</v>
          </cell>
          <cell r="E11">
            <v>0</v>
          </cell>
          <cell r="F11">
            <v>0</v>
          </cell>
          <cell r="G11">
            <v>0</v>
          </cell>
          <cell r="H11">
            <v>0</v>
          </cell>
          <cell r="I11">
            <v>0</v>
          </cell>
          <cell r="J11">
            <v>0</v>
          </cell>
          <cell r="K11">
            <v>0</v>
          </cell>
          <cell r="L11">
            <v>20</v>
          </cell>
          <cell r="M11">
            <v>0</v>
          </cell>
          <cell r="N11">
            <v>0</v>
          </cell>
          <cell r="O11">
            <v>0</v>
          </cell>
          <cell r="P11">
            <v>0</v>
          </cell>
          <cell r="Q11">
            <v>0</v>
          </cell>
          <cell r="R11">
            <v>25</v>
          </cell>
          <cell r="S11">
            <v>0</v>
          </cell>
          <cell r="T11">
            <v>130</v>
          </cell>
          <cell r="U11">
            <v>150</v>
          </cell>
          <cell r="V11">
            <v>0</v>
          </cell>
          <cell r="W11">
            <v>0</v>
          </cell>
          <cell r="X11">
            <v>0</v>
          </cell>
          <cell r="Y11">
            <v>0</v>
          </cell>
          <cell r="Z11">
            <v>37</v>
          </cell>
          <cell r="AA11">
            <v>21</v>
          </cell>
          <cell r="AB11">
            <v>0</v>
          </cell>
          <cell r="AC11">
            <v>0</v>
          </cell>
          <cell r="AD11">
            <v>0</v>
          </cell>
          <cell r="AE11">
            <v>0</v>
          </cell>
        </row>
        <row r="12">
          <cell r="B12">
            <v>0</v>
          </cell>
          <cell r="C12">
            <v>28</v>
          </cell>
          <cell r="D12">
            <v>47</v>
          </cell>
          <cell r="E12">
            <v>4</v>
          </cell>
          <cell r="F12">
            <v>52</v>
          </cell>
          <cell r="G12">
            <v>127</v>
          </cell>
          <cell r="H12">
            <v>0</v>
          </cell>
          <cell r="I12">
            <v>0</v>
          </cell>
          <cell r="J12">
            <v>0</v>
          </cell>
          <cell r="K12">
            <v>10</v>
          </cell>
          <cell r="L12">
            <v>10</v>
          </cell>
          <cell r="M12">
            <v>335</v>
          </cell>
          <cell r="N12">
            <v>0</v>
          </cell>
          <cell r="O12">
            <v>59</v>
          </cell>
          <cell r="P12">
            <v>22</v>
          </cell>
          <cell r="Q12">
            <v>205</v>
          </cell>
          <cell r="R12">
            <v>0</v>
          </cell>
          <cell r="S12">
            <v>10</v>
          </cell>
          <cell r="T12">
            <v>0</v>
          </cell>
          <cell r="U12">
            <v>33</v>
          </cell>
          <cell r="V12">
            <v>0</v>
          </cell>
          <cell r="W12">
            <v>60</v>
          </cell>
          <cell r="X12">
            <v>10</v>
          </cell>
          <cell r="Y12">
            <v>10</v>
          </cell>
          <cell r="Z12">
            <v>0</v>
          </cell>
          <cell r="AA12">
            <v>259</v>
          </cell>
          <cell r="AB12">
            <v>0</v>
          </cell>
          <cell r="AC12">
            <v>13</v>
          </cell>
          <cell r="AD12">
            <v>0</v>
          </cell>
          <cell r="AE12">
            <v>15</v>
          </cell>
        </row>
        <row r="13">
          <cell r="B13">
            <v>40</v>
          </cell>
          <cell r="C13">
            <v>18</v>
          </cell>
          <cell r="D13">
            <v>15</v>
          </cell>
          <cell r="E13">
            <v>0</v>
          </cell>
          <cell r="F13">
            <v>0</v>
          </cell>
          <cell r="G13">
            <v>0</v>
          </cell>
          <cell r="H13">
            <v>0</v>
          </cell>
          <cell r="I13">
            <v>0</v>
          </cell>
          <cell r="J13">
            <v>0</v>
          </cell>
          <cell r="K13">
            <v>36</v>
          </cell>
          <cell r="L13">
            <v>66</v>
          </cell>
          <cell r="M13">
            <v>368</v>
          </cell>
          <cell r="N13">
            <v>33</v>
          </cell>
          <cell r="O13">
            <v>8</v>
          </cell>
          <cell r="P13">
            <v>0</v>
          </cell>
          <cell r="Q13">
            <v>5</v>
          </cell>
          <cell r="R13">
            <v>0</v>
          </cell>
          <cell r="S13">
            <v>0</v>
          </cell>
          <cell r="T13">
            <v>0</v>
          </cell>
          <cell r="U13">
            <v>0</v>
          </cell>
          <cell r="V13">
            <v>0</v>
          </cell>
          <cell r="W13">
            <v>0</v>
          </cell>
          <cell r="X13">
            <v>0</v>
          </cell>
          <cell r="Y13">
            <v>0</v>
          </cell>
          <cell r="Z13">
            <v>0</v>
          </cell>
          <cell r="AA13">
            <v>0</v>
          </cell>
          <cell r="AB13">
            <v>0</v>
          </cell>
          <cell r="AC13">
            <v>0</v>
          </cell>
          <cell r="AD13">
            <v>20</v>
          </cell>
          <cell r="AE13">
            <v>437</v>
          </cell>
        </row>
        <row r="14">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S14">
            <v>0</v>
          </cell>
          <cell r="T14">
            <v>0</v>
          </cell>
          <cell r="U14">
            <v>0</v>
          </cell>
          <cell r="V14">
            <v>0</v>
          </cell>
          <cell r="W14">
            <v>0</v>
          </cell>
          <cell r="X14">
            <v>0</v>
          </cell>
          <cell r="Y14">
            <v>0</v>
          </cell>
          <cell r="Z14">
            <v>0</v>
          </cell>
          <cell r="AA14">
            <v>0</v>
          </cell>
          <cell r="AB14">
            <v>0</v>
          </cell>
          <cell r="AC14">
            <v>0</v>
          </cell>
          <cell r="AD14">
            <v>0</v>
          </cell>
          <cell r="AE14">
            <v>0</v>
          </cell>
        </row>
        <row r="15">
          <cell r="B15">
            <v>0</v>
          </cell>
          <cell r="C15">
            <v>0</v>
          </cell>
          <cell r="D15">
            <v>0</v>
          </cell>
          <cell r="E15">
            <v>6</v>
          </cell>
          <cell r="F15">
            <v>0</v>
          </cell>
          <cell r="G15">
            <v>10</v>
          </cell>
          <cell r="H15">
            <v>0</v>
          </cell>
          <cell r="I15">
            <v>0</v>
          </cell>
          <cell r="J15">
            <v>5</v>
          </cell>
          <cell r="K15">
            <v>0</v>
          </cell>
          <cell r="L15">
            <v>5</v>
          </cell>
          <cell r="M15">
            <v>0</v>
          </cell>
          <cell r="N15">
            <v>25</v>
          </cell>
          <cell r="O15">
            <v>0</v>
          </cell>
          <cell r="P15">
            <v>10</v>
          </cell>
          <cell r="Q15">
            <v>7</v>
          </cell>
          <cell r="R15">
            <v>17</v>
          </cell>
          <cell r="S15">
            <v>0</v>
          </cell>
          <cell r="T15">
            <v>0</v>
          </cell>
          <cell r="U15">
            <v>4</v>
          </cell>
          <cell r="V15">
            <v>0</v>
          </cell>
          <cell r="W15">
            <v>5</v>
          </cell>
          <cell r="X15">
            <v>39</v>
          </cell>
          <cell r="Y15">
            <v>3</v>
          </cell>
          <cell r="Z15">
            <v>59</v>
          </cell>
          <cell r="AA15">
            <v>0</v>
          </cell>
          <cell r="AB15">
            <v>0</v>
          </cell>
          <cell r="AC15">
            <v>0</v>
          </cell>
          <cell r="AD15">
            <v>0</v>
          </cell>
          <cell r="AE15">
            <v>0</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codeName="Hoja1">
    <outlinePr summaryBelow="1" summaryRight="1"/>
    <pageSetUpPr/>
  </sheetPr>
  <dimension ref="A5:I288"/>
  <sheetViews>
    <sheetView zoomScale="70" zoomScaleNormal="70" workbookViewId="0">
      <selection activeCell="F152" sqref="F152"/>
    </sheetView>
  </sheetViews>
  <sheetFormatPr baseColWidth="10" defaultColWidth="11.42578125" defaultRowHeight="15"/>
  <cols>
    <col width="34.5703125" customWidth="1" style="1" min="1" max="1"/>
    <col width="22.140625" customWidth="1" style="1" min="2" max="2"/>
    <col width="17.42578125" customWidth="1" style="1" min="3" max="9"/>
    <col width="12.85546875" customWidth="1" style="1" min="10" max="18"/>
    <col width="14" customWidth="1" style="1" min="19" max="33"/>
    <col width="23.42578125" customWidth="1" style="1" min="34" max="34"/>
    <col width="11.42578125" customWidth="1" style="1" min="35" max="16384"/>
  </cols>
  <sheetData>
    <row r="4" ht="15.75" customHeight="1" thickBot="1"/>
    <row r="5" ht="16.5" customHeight="1" thickTop="1">
      <c r="A5" s="127" t="inlineStr">
        <is>
          <t xml:space="preserve">DÍA / planta </t>
        </is>
      </c>
      <c r="B5" s="127" t="inlineStr">
        <is>
          <t>BARRANQUILLA</t>
        </is>
      </c>
      <c r="C5" s="127" t="inlineStr">
        <is>
          <t>BELLO</t>
        </is>
      </c>
      <c r="D5" s="127" t="inlineStr">
        <is>
          <t>GASEOSAS LUX BLOMAX 8-1</t>
        </is>
      </c>
      <c r="E5" s="127" t="inlineStr">
        <is>
          <t>GASEOSAS LUX BLOMAX 8-3</t>
        </is>
      </c>
      <c r="F5" s="127" t="inlineStr">
        <is>
          <t>GASEOSAS LUX BLOMAX 14</t>
        </is>
      </c>
      <c r="G5" s="127" t="inlineStr">
        <is>
          <t>GASEOSAS LUX KRONES</t>
        </is>
      </c>
      <c r="H5" s="127" t="inlineStr">
        <is>
          <t>YUMBO LINEA HOT FILL</t>
        </is>
      </c>
      <c r="I5" s="127" t="inlineStr">
        <is>
          <t>YUMBO BLOMAX 20</t>
        </is>
      </c>
    </row>
    <row r="6" ht="29.25" customHeight="1" thickBot="1">
      <c r="A6" s="136" t="n"/>
      <c r="B6" s="136" t="n"/>
      <c r="C6" s="136" t="n"/>
      <c r="D6" s="136" t="n"/>
      <c r="E6" s="136" t="n"/>
      <c r="F6" s="136" t="n"/>
      <c r="G6" s="136" t="n"/>
      <c r="H6" s="136" t="n"/>
      <c r="I6" s="136" t="n"/>
    </row>
    <row r="7" ht="29.25" customHeight="1" thickTop="1">
      <c r="A7" s="8" t="n">
        <v>40664</v>
      </c>
      <c r="B7" s="9" t="n">
        <v>0</v>
      </c>
      <c r="C7" s="9" t="n">
        <v>0</v>
      </c>
      <c r="D7" s="9" t="n">
        <v>0</v>
      </c>
      <c r="E7" s="9" t="n">
        <v>0</v>
      </c>
      <c r="F7" s="9" t="n">
        <v>0</v>
      </c>
      <c r="G7" s="9" t="n">
        <v>0</v>
      </c>
      <c r="H7" s="9" t="n">
        <v>0</v>
      </c>
      <c r="I7" s="9" t="n">
        <v>0</v>
      </c>
    </row>
    <row r="8" ht="21" customHeight="1">
      <c r="A8" s="10" t="n">
        <v>40665</v>
      </c>
      <c r="B8" s="11" t="n">
        <v>0</v>
      </c>
      <c r="C8" s="11" t="n">
        <v>0</v>
      </c>
      <c r="D8" s="11" t="n">
        <v>45</v>
      </c>
      <c r="E8" s="9" t="n">
        <v>0</v>
      </c>
      <c r="F8" s="11" t="n">
        <v>0</v>
      </c>
      <c r="G8" s="11" t="n">
        <v>0</v>
      </c>
      <c r="H8" s="11" t="n">
        <v>0</v>
      </c>
      <c r="I8" s="9" t="n">
        <v>0</v>
      </c>
    </row>
    <row r="9" ht="21" customHeight="1">
      <c r="A9" s="8" t="n">
        <v>40666</v>
      </c>
      <c r="B9" s="11" t="n">
        <v>229</v>
      </c>
      <c r="C9" s="11" t="n">
        <v>0</v>
      </c>
      <c r="D9" s="11" t="n">
        <v>20</v>
      </c>
      <c r="E9" s="11" t="n">
        <v>58</v>
      </c>
      <c r="F9" s="11" t="n">
        <v>0</v>
      </c>
      <c r="G9" s="11" t="n">
        <v>0</v>
      </c>
      <c r="H9" s="11" t="n">
        <v>0</v>
      </c>
      <c r="I9" s="9" t="n">
        <v>0</v>
      </c>
    </row>
    <row r="10" ht="21" customHeight="1">
      <c r="A10" s="10" t="n">
        <v>40667</v>
      </c>
      <c r="B10" s="11" t="n">
        <v>191</v>
      </c>
      <c r="C10" s="11" t="n">
        <v>0</v>
      </c>
      <c r="D10" s="11" t="n">
        <v>20</v>
      </c>
      <c r="E10" s="11" t="n">
        <v>0</v>
      </c>
      <c r="F10" s="11" t="n">
        <v>0</v>
      </c>
      <c r="G10" s="11" t="n">
        <v>0</v>
      </c>
      <c r="H10" s="11" t="n">
        <v>0</v>
      </c>
      <c r="I10" s="11" t="n">
        <v>0</v>
      </c>
    </row>
    <row r="11" ht="21" customHeight="1">
      <c r="A11" s="8" t="n">
        <v>40668</v>
      </c>
      <c r="B11" s="11" t="n">
        <v>612</v>
      </c>
      <c r="C11" s="11" t="n">
        <v>15</v>
      </c>
      <c r="D11" s="11" t="n">
        <v>90</v>
      </c>
      <c r="E11" s="11" t="n">
        <v>40</v>
      </c>
      <c r="F11" s="11" t="n">
        <v>30</v>
      </c>
      <c r="G11" s="11" t="n">
        <v>0</v>
      </c>
      <c r="H11" s="11" t="n">
        <v>0</v>
      </c>
      <c r="I11" s="11" t="n">
        <v>0</v>
      </c>
    </row>
    <row r="12" ht="21" customHeight="1">
      <c r="A12" s="10" t="n">
        <v>40669</v>
      </c>
      <c r="B12" s="11" t="n">
        <v>22</v>
      </c>
      <c r="C12" s="11" t="n">
        <v>10</v>
      </c>
      <c r="D12" s="11" t="n">
        <v>0</v>
      </c>
      <c r="E12" s="11" t="n">
        <v>22</v>
      </c>
      <c r="F12" s="11" t="n">
        <v>0</v>
      </c>
      <c r="G12" s="11" t="n">
        <v>0</v>
      </c>
      <c r="H12" s="11" t="n">
        <v>0</v>
      </c>
      <c r="I12" s="11" t="n">
        <v>0</v>
      </c>
    </row>
    <row r="13" ht="21" customHeight="1">
      <c r="A13" s="8" t="n">
        <v>40670</v>
      </c>
      <c r="B13" s="11" t="n">
        <v>0</v>
      </c>
      <c r="C13" s="11" t="n">
        <v>49</v>
      </c>
      <c r="D13" s="11" t="n">
        <v>50</v>
      </c>
      <c r="E13" s="11" t="n">
        <v>0</v>
      </c>
      <c r="F13" s="11" t="n">
        <v>0</v>
      </c>
      <c r="G13" s="11" t="n">
        <v>0</v>
      </c>
      <c r="H13" s="11" t="n">
        <v>0</v>
      </c>
      <c r="I13" s="11" t="n">
        <v>0</v>
      </c>
    </row>
    <row r="14" ht="21" customHeight="1">
      <c r="A14" s="10" t="n">
        <v>40671</v>
      </c>
      <c r="B14" s="11" t="n">
        <v>0</v>
      </c>
      <c r="C14" s="11" t="n">
        <v>0</v>
      </c>
      <c r="D14" s="11" t="n">
        <v>120</v>
      </c>
      <c r="E14" s="11" t="n">
        <v>0</v>
      </c>
      <c r="F14" s="11" t="n">
        <v>0</v>
      </c>
      <c r="G14" s="11" t="n">
        <v>0</v>
      </c>
      <c r="H14" s="11" t="n">
        <v>2</v>
      </c>
      <c r="I14" s="11" t="n">
        <v>0</v>
      </c>
    </row>
    <row r="15" ht="21" customHeight="1">
      <c r="A15" s="8" t="n">
        <v>40672</v>
      </c>
      <c r="B15" s="11">
        <f>56+20+8</f>
        <v/>
      </c>
      <c r="C15" s="11" t="n">
        <v>0</v>
      </c>
      <c r="D15" s="11" t="n">
        <v>50</v>
      </c>
      <c r="E15" s="11" t="n">
        <v>105</v>
      </c>
      <c r="F15" s="11" t="n">
        <v>0</v>
      </c>
      <c r="G15" s="11" t="n">
        <v>0</v>
      </c>
      <c r="H15" s="11" t="n">
        <v>0</v>
      </c>
      <c r="I15" s="11" t="n">
        <v>14</v>
      </c>
    </row>
    <row r="16" ht="21" customHeight="1">
      <c r="A16" s="10" t="n">
        <v>40673</v>
      </c>
      <c r="B16" s="11" t="n">
        <v>222</v>
      </c>
      <c r="C16" s="11" t="n">
        <v>0</v>
      </c>
      <c r="D16" s="11" t="n">
        <v>0</v>
      </c>
      <c r="E16" s="11" t="n">
        <v>0</v>
      </c>
      <c r="F16" s="11" t="n">
        <v>46</v>
      </c>
      <c r="G16" s="11" t="n">
        <v>0</v>
      </c>
      <c r="H16" s="11" t="n">
        <v>0</v>
      </c>
      <c r="I16" s="11" t="n">
        <v>10</v>
      </c>
    </row>
    <row r="17" ht="21.75" customHeight="1">
      <c r="A17" s="8" t="n">
        <v>40674</v>
      </c>
      <c r="B17" s="11">
        <f>169+26</f>
        <v/>
      </c>
      <c r="C17" s="11" t="n">
        <v>0</v>
      </c>
      <c r="D17" s="11" t="n">
        <v>0</v>
      </c>
      <c r="E17" s="11" t="n">
        <v>0</v>
      </c>
      <c r="F17" s="11" t="n">
        <v>0</v>
      </c>
      <c r="G17" s="11" t="n">
        <v>0</v>
      </c>
      <c r="H17" s="11" t="n">
        <v>0</v>
      </c>
      <c r="I17" s="11" t="n">
        <v>0</v>
      </c>
    </row>
    <row r="18" ht="21.75" customHeight="1">
      <c r="A18" s="10" t="n">
        <v>40675</v>
      </c>
      <c r="B18" s="11" t="n">
        <v>89</v>
      </c>
      <c r="C18" s="11" t="n">
        <v>0</v>
      </c>
      <c r="D18" s="11" t="n">
        <v>0</v>
      </c>
      <c r="E18" s="11" t="n">
        <v>0</v>
      </c>
      <c r="F18" s="11" t="n">
        <v>0</v>
      </c>
      <c r="G18" s="11" t="n">
        <v>0</v>
      </c>
      <c r="H18" s="11" t="n">
        <v>0</v>
      </c>
      <c r="I18" s="11" t="n">
        <v>8</v>
      </c>
    </row>
    <row r="19" ht="21.75" customHeight="1">
      <c r="A19" s="8" t="n">
        <v>40676</v>
      </c>
      <c r="B19" s="11" t="n">
        <v>10</v>
      </c>
      <c r="C19" s="11" t="n">
        <v>12</v>
      </c>
      <c r="D19" s="11" t="n">
        <v>0</v>
      </c>
      <c r="E19" s="11" t="n">
        <v>0</v>
      </c>
      <c r="F19" s="11" t="n">
        <v>0</v>
      </c>
      <c r="G19" s="11" t="n">
        <v>0</v>
      </c>
      <c r="H19" s="11" t="n">
        <v>0</v>
      </c>
      <c r="I19" s="11" t="n">
        <v>46</v>
      </c>
    </row>
    <row r="20" ht="21.75" customHeight="1">
      <c r="A20" s="10" t="n">
        <v>40677</v>
      </c>
      <c r="B20" s="11" t="n">
        <v>86</v>
      </c>
      <c r="C20" s="11" t="n">
        <v>0</v>
      </c>
      <c r="D20" s="11" t="n">
        <v>0</v>
      </c>
      <c r="E20" s="11" t="n">
        <v>0</v>
      </c>
      <c r="F20" s="11" t="n">
        <v>0</v>
      </c>
      <c r="G20" s="11" t="n">
        <v>0</v>
      </c>
      <c r="H20" s="11" t="n">
        <v>0</v>
      </c>
      <c r="I20" s="11" t="n">
        <v>57</v>
      </c>
    </row>
    <row r="21" ht="21.75" customHeight="1">
      <c r="A21" s="8" t="n">
        <v>40678</v>
      </c>
      <c r="B21" s="11" t="n">
        <v>0</v>
      </c>
      <c r="C21" s="11" t="n">
        <v>32</v>
      </c>
      <c r="D21" s="11" t="n">
        <v>0</v>
      </c>
      <c r="E21" s="11" t="n">
        <v>0</v>
      </c>
      <c r="F21" s="11" t="n">
        <v>0</v>
      </c>
      <c r="G21" s="11" t="n">
        <v>0</v>
      </c>
      <c r="H21" s="11" t="n">
        <v>0</v>
      </c>
      <c r="I21" s="11" t="n">
        <v>0</v>
      </c>
    </row>
    <row r="22" ht="21.75" customHeight="1">
      <c r="A22" s="10" t="n">
        <v>40679</v>
      </c>
      <c r="B22" s="11" t="n">
        <v>34</v>
      </c>
      <c r="C22" s="11" t="n">
        <v>0</v>
      </c>
      <c r="D22" s="11" t="n">
        <v>0</v>
      </c>
      <c r="E22" s="11" t="n">
        <v>0</v>
      </c>
      <c r="F22" s="11" t="n">
        <v>0</v>
      </c>
      <c r="G22" s="11" t="n">
        <v>0</v>
      </c>
      <c r="H22" s="11" t="n">
        <v>0</v>
      </c>
      <c r="I22" s="11" t="n">
        <v>0</v>
      </c>
    </row>
    <row r="23" ht="21.75" customHeight="1">
      <c r="A23" s="8" t="n">
        <v>40680</v>
      </c>
      <c r="B23" s="11" t="n">
        <v>10</v>
      </c>
      <c r="C23" s="11" t="n">
        <v>0</v>
      </c>
      <c r="D23" s="11" t="n">
        <v>0</v>
      </c>
      <c r="E23" s="11" t="n">
        <v>18</v>
      </c>
      <c r="F23" s="11" t="n">
        <v>0</v>
      </c>
      <c r="G23" s="11" t="n">
        <v>0</v>
      </c>
      <c r="H23" s="11" t="n">
        <v>0</v>
      </c>
      <c r="I23" s="11" t="n">
        <v>0</v>
      </c>
    </row>
    <row r="24" ht="21.75" customHeight="1">
      <c r="A24" s="10" t="n">
        <v>40681</v>
      </c>
      <c r="B24" s="11" t="n">
        <v>2</v>
      </c>
      <c r="C24" s="11" t="n">
        <v>0</v>
      </c>
      <c r="D24" s="11" t="n">
        <v>28</v>
      </c>
      <c r="E24" s="11" t="n">
        <v>0</v>
      </c>
      <c r="F24" s="11" t="n">
        <v>0</v>
      </c>
      <c r="G24" s="11" t="n">
        <v>0</v>
      </c>
      <c r="H24" s="11" t="n">
        <v>45</v>
      </c>
      <c r="I24" s="11" t="n">
        <v>0</v>
      </c>
    </row>
    <row r="25" ht="21.75" customHeight="1">
      <c r="A25" s="8" t="n">
        <v>40682</v>
      </c>
      <c r="B25" s="11" t="n">
        <v>44</v>
      </c>
      <c r="C25" s="11" t="n">
        <v>0</v>
      </c>
      <c r="D25" s="11" t="n">
        <v>85</v>
      </c>
      <c r="E25" s="11" t="n">
        <v>0</v>
      </c>
      <c r="F25" s="11" t="n">
        <v>0</v>
      </c>
      <c r="G25" s="11" t="n">
        <v>0</v>
      </c>
      <c r="H25" s="11" t="n">
        <v>0</v>
      </c>
      <c r="I25" s="11" t="n">
        <v>0</v>
      </c>
    </row>
    <row r="26" ht="21.75" customHeight="1">
      <c r="A26" s="10" t="n">
        <v>40683</v>
      </c>
      <c r="B26" s="11" t="n">
        <v>0</v>
      </c>
      <c r="C26" s="11" t="n">
        <v>73</v>
      </c>
      <c r="D26" s="11" t="n">
        <v>0</v>
      </c>
      <c r="E26" s="11" t="n">
        <v>0</v>
      </c>
      <c r="F26" s="11" t="n">
        <v>0</v>
      </c>
      <c r="G26" s="11" t="n">
        <v>0</v>
      </c>
      <c r="H26" s="11" t="n">
        <v>69</v>
      </c>
      <c r="I26" s="11" t="n">
        <v>25</v>
      </c>
    </row>
    <row r="27" ht="21.75" customHeight="1">
      <c r="A27" s="8" t="n">
        <v>40684</v>
      </c>
      <c r="B27" s="11" t="n">
        <v>20</v>
      </c>
      <c r="C27" s="11" t="n">
        <v>0</v>
      </c>
      <c r="D27" s="11" t="n">
        <v>0</v>
      </c>
      <c r="E27" s="11" t="n">
        <v>0</v>
      </c>
      <c r="F27" s="11" t="n">
        <v>0</v>
      </c>
      <c r="G27" s="11" t="n">
        <v>0</v>
      </c>
      <c r="H27" s="11" t="n">
        <v>0</v>
      </c>
      <c r="I27" s="11" t="n">
        <v>2</v>
      </c>
    </row>
    <row r="28" ht="21.75" customHeight="1">
      <c r="A28" s="10" t="n">
        <v>40685</v>
      </c>
      <c r="B28" s="11" t="n">
        <v>0</v>
      </c>
      <c r="C28" s="11" t="n">
        <v>0</v>
      </c>
      <c r="D28" s="11" t="n">
        <v>0</v>
      </c>
      <c r="E28" s="11" t="n">
        <v>45</v>
      </c>
      <c r="F28" s="11" t="n">
        <v>0</v>
      </c>
      <c r="G28" s="11" t="n">
        <v>0</v>
      </c>
      <c r="H28" s="11" t="n">
        <v>0</v>
      </c>
      <c r="I28" s="11" t="n">
        <v>0</v>
      </c>
    </row>
    <row r="29" ht="21.75" customHeight="1">
      <c r="A29" s="8" t="n">
        <v>40686</v>
      </c>
      <c r="B29" s="11" t="n">
        <v>0</v>
      </c>
      <c r="C29" s="11" t="n">
        <v>90</v>
      </c>
      <c r="D29" s="11" t="n">
        <v>0</v>
      </c>
      <c r="E29" s="11" t="n">
        <v>32</v>
      </c>
      <c r="F29" s="11" t="n">
        <v>450</v>
      </c>
      <c r="G29" s="11" t="n">
        <v>0</v>
      </c>
      <c r="H29" s="11" t="n">
        <v>0</v>
      </c>
      <c r="I29" s="11" t="n">
        <v>0</v>
      </c>
    </row>
    <row r="30" ht="21.75" customHeight="1">
      <c r="A30" s="10" t="n">
        <v>40687</v>
      </c>
      <c r="B30" s="11" t="n">
        <v>25</v>
      </c>
      <c r="C30" s="11" t="n">
        <v>0</v>
      </c>
      <c r="D30" s="11" t="n">
        <v>0</v>
      </c>
      <c r="E30" s="11" t="n">
        <v>0</v>
      </c>
      <c r="F30" s="11" t="n">
        <v>30</v>
      </c>
      <c r="G30" s="11" t="n">
        <v>0</v>
      </c>
      <c r="H30" s="11" t="n">
        <v>0</v>
      </c>
      <c r="I30" s="11" t="n">
        <v>0</v>
      </c>
    </row>
    <row r="31" ht="21.75" customHeight="1">
      <c r="A31" s="8" t="n">
        <v>40688</v>
      </c>
      <c r="B31" s="11" t="n">
        <v>0</v>
      </c>
      <c r="C31" s="11" t="n">
        <v>0</v>
      </c>
      <c r="D31" s="11" t="n">
        <v>0</v>
      </c>
      <c r="E31" s="11" t="n">
        <v>0</v>
      </c>
      <c r="F31" s="11" t="n">
        <v>0</v>
      </c>
      <c r="G31" s="11" t="n">
        <v>0</v>
      </c>
      <c r="H31" s="11" t="n">
        <v>0</v>
      </c>
      <c r="I31" s="11" t="n">
        <v>0</v>
      </c>
    </row>
    <row r="32" ht="21.75" customHeight="1">
      <c r="A32" s="10" t="n">
        <v>40689</v>
      </c>
      <c r="B32" s="11" t="n">
        <v>39</v>
      </c>
      <c r="C32" s="11" t="n">
        <v>0</v>
      </c>
      <c r="D32" s="11" t="n">
        <v>0</v>
      </c>
      <c r="E32" s="11" t="n">
        <v>0</v>
      </c>
      <c r="F32" s="11" t="n">
        <v>0</v>
      </c>
      <c r="G32" s="11" t="n">
        <v>0</v>
      </c>
      <c r="H32" s="11" t="n">
        <v>0</v>
      </c>
      <c r="I32" s="11" t="n">
        <v>5</v>
      </c>
    </row>
    <row r="33" ht="21.75" customHeight="1">
      <c r="A33" s="8" t="n">
        <v>40690</v>
      </c>
      <c r="B33" s="11" t="n">
        <v>15</v>
      </c>
      <c r="C33" s="11" t="n">
        <v>0</v>
      </c>
      <c r="D33" s="11" t="n">
        <v>0</v>
      </c>
      <c r="E33" s="11" t="n">
        <v>0</v>
      </c>
      <c r="F33" s="11" t="n">
        <v>0</v>
      </c>
      <c r="G33" s="11" t="n">
        <v>0</v>
      </c>
      <c r="H33" s="11" t="n">
        <v>0</v>
      </c>
      <c r="I33" s="11" t="n">
        <v>0</v>
      </c>
    </row>
    <row r="34" ht="21.75" customHeight="1">
      <c r="A34" s="10" t="n">
        <v>40691</v>
      </c>
      <c r="B34" s="11" t="n">
        <v>0</v>
      </c>
      <c r="C34" s="11" t="n">
        <v>15</v>
      </c>
      <c r="D34" s="11" t="n">
        <v>0</v>
      </c>
      <c r="E34" s="11" t="n">
        <v>8</v>
      </c>
      <c r="F34" s="11" t="n">
        <v>0</v>
      </c>
      <c r="G34" s="11" t="n">
        <v>0</v>
      </c>
      <c r="H34" s="11" t="n">
        <v>0</v>
      </c>
      <c r="I34" s="11" t="n">
        <v>0</v>
      </c>
    </row>
    <row r="35" ht="21.75" customHeight="1">
      <c r="A35" s="8" t="n">
        <v>40692</v>
      </c>
      <c r="B35" s="11" t="n">
        <v>0</v>
      </c>
      <c r="C35" s="11" t="n">
        <v>0</v>
      </c>
      <c r="D35" s="11" t="n">
        <v>0</v>
      </c>
      <c r="E35" s="11" t="n">
        <v>0</v>
      </c>
      <c r="F35" s="11" t="n">
        <v>0</v>
      </c>
      <c r="G35" s="11" t="n">
        <v>0</v>
      </c>
      <c r="H35" s="11" t="n">
        <v>0</v>
      </c>
      <c r="I35" s="11" t="n">
        <v>0</v>
      </c>
    </row>
    <row r="36" ht="21.75" customHeight="1">
      <c r="A36" s="10" t="n">
        <v>40693</v>
      </c>
      <c r="B36" s="21" t="n">
        <v>6</v>
      </c>
      <c r="C36" s="21" t="n">
        <v>0</v>
      </c>
      <c r="D36" s="21" t="n">
        <v>0</v>
      </c>
      <c r="E36" s="21" t="n">
        <v>0</v>
      </c>
      <c r="F36" s="21" t="n">
        <v>0</v>
      </c>
      <c r="G36" s="21" t="n">
        <v>0</v>
      </c>
      <c r="H36" s="21" t="n">
        <v>3</v>
      </c>
      <c r="I36" s="21" t="n">
        <v>0</v>
      </c>
    </row>
    <row r="37" ht="21.75" customHeight="1" thickBot="1">
      <c r="A37" s="10" t="n">
        <v>40694</v>
      </c>
      <c r="B37" s="26" t="n">
        <v>0</v>
      </c>
      <c r="C37" s="26" t="n">
        <v>0</v>
      </c>
      <c r="D37" s="26" t="n">
        <v>0</v>
      </c>
      <c r="E37" s="26" t="n">
        <v>0</v>
      </c>
      <c r="F37" s="26" t="n">
        <v>0</v>
      </c>
      <c r="G37" s="26" t="n">
        <v>0</v>
      </c>
      <c r="H37" s="26" t="n">
        <v>0</v>
      </c>
      <c r="I37" s="26" t="n">
        <v>0</v>
      </c>
    </row>
    <row r="38" ht="21.75" customHeight="1" thickBot="1" thickTop="1">
      <c r="A38" s="13" t="inlineStr">
        <is>
          <t xml:space="preserve">TOTAL MIN PERDIDO </t>
        </is>
      </c>
      <c r="B38" s="14">
        <f>SUM(B7:B37)</f>
        <v/>
      </c>
      <c r="C38" s="14">
        <f>SUM(C7:C37)</f>
        <v/>
      </c>
      <c r="D38" s="14">
        <f>SUM(D7:D37)</f>
        <v/>
      </c>
      <c r="E38" s="14">
        <f>SUM(E7:E37)</f>
        <v/>
      </c>
      <c r="F38" s="14">
        <f>SUM(F7:F37)</f>
        <v/>
      </c>
      <c r="G38" s="14">
        <f>SUM(G7:G37)</f>
        <v/>
      </c>
      <c r="H38" s="14">
        <f>SUM(H7:H37)</f>
        <v/>
      </c>
      <c r="I38" s="14">
        <f>SUM(I7:I37)</f>
        <v/>
      </c>
    </row>
    <row r="39" ht="21.75" customHeight="1" thickTop="1">
      <c r="A39" s="16" t="n"/>
      <c r="B39" s="17" t="n"/>
      <c r="C39" s="17" t="n"/>
      <c r="D39" s="17" t="n"/>
      <c r="E39" s="17" t="n"/>
      <c r="F39" s="17" t="n"/>
      <c r="G39" s="17" t="n"/>
      <c r="H39" s="17" t="n"/>
      <c r="I39" s="17" t="n"/>
    </row>
    <row r="40" ht="21.75" customHeight="1" thickBot="1"/>
    <row r="41" ht="31.5" customHeight="1" thickTop="1">
      <c r="A41" s="127" t="inlineStr">
        <is>
          <t xml:space="preserve">DÍA / planta </t>
        </is>
      </c>
      <c r="B41" s="127" t="inlineStr">
        <is>
          <t>BARRANQUILLA</t>
        </is>
      </c>
      <c r="C41" s="127" t="inlineStr">
        <is>
          <t>BELLO</t>
        </is>
      </c>
      <c r="D41" s="127" t="inlineStr">
        <is>
          <t>GASEOSAS LUX BLOMAX 8-1</t>
        </is>
      </c>
      <c r="E41" s="127" t="inlineStr">
        <is>
          <t>GASEOSAS LUX BLOMAX 8-3</t>
        </is>
      </c>
      <c r="F41" s="127" t="inlineStr">
        <is>
          <t>GASEOSAS LUX BLOMAX 14</t>
        </is>
      </c>
      <c r="G41" s="127" t="inlineStr">
        <is>
          <t>GASEOSAS LUX KRONES</t>
        </is>
      </c>
      <c r="H41" s="127" t="inlineStr">
        <is>
          <t>YUMBO LINEA HOT FILL</t>
        </is>
      </c>
      <c r="I41" s="127" t="inlineStr">
        <is>
          <t>YUMBO BLOMAX 20</t>
        </is>
      </c>
    </row>
    <row r="42" ht="31.5" customHeight="1" thickBot="1">
      <c r="A42" s="136" t="n"/>
      <c r="B42" s="136" t="n"/>
      <c r="C42" s="136" t="n"/>
      <c r="D42" s="136" t="n"/>
      <c r="E42" s="136" t="n"/>
      <c r="F42" s="136" t="n"/>
      <c r="G42" s="136" t="n"/>
      <c r="H42" s="136" t="n"/>
      <c r="I42" s="136" t="n"/>
    </row>
    <row r="43" ht="21.75" customHeight="1" thickTop="1">
      <c r="A43" s="8" t="n">
        <v>40634</v>
      </c>
      <c r="B43" s="9" t="n">
        <v>0</v>
      </c>
      <c r="C43" s="9" t="n">
        <v>0</v>
      </c>
      <c r="D43" s="9" t="n">
        <v>0</v>
      </c>
      <c r="E43" s="9" t="n">
        <v>0</v>
      </c>
      <c r="F43" s="9" t="n">
        <v>0</v>
      </c>
      <c r="G43" s="9" t="n">
        <v>0</v>
      </c>
      <c r="H43" s="9" t="n">
        <v>0</v>
      </c>
      <c r="I43" s="9" t="n">
        <v>0</v>
      </c>
    </row>
    <row r="44" ht="21" customHeight="1">
      <c r="A44" s="10" t="n">
        <v>40635</v>
      </c>
      <c r="B44" s="11" t="n">
        <v>0</v>
      </c>
      <c r="C44" s="11" t="n">
        <v>0</v>
      </c>
      <c r="D44" s="11" t="n">
        <v>0</v>
      </c>
      <c r="E44" s="9" t="n">
        <v>0</v>
      </c>
      <c r="F44" s="11" t="n">
        <v>0</v>
      </c>
      <c r="G44" s="11" t="n">
        <v>0</v>
      </c>
      <c r="H44" s="11" t="n">
        <v>0</v>
      </c>
      <c r="I44" s="9" t="n">
        <v>0</v>
      </c>
    </row>
    <row r="45" ht="21" customHeight="1">
      <c r="A45" s="8" t="n">
        <v>40636</v>
      </c>
      <c r="B45" s="11" t="n">
        <v>0</v>
      </c>
      <c r="C45" s="11" t="n">
        <v>0</v>
      </c>
      <c r="D45" s="11" t="n">
        <v>0</v>
      </c>
      <c r="E45" s="11" t="n">
        <v>0</v>
      </c>
      <c r="F45" s="11" t="n">
        <v>0</v>
      </c>
      <c r="G45" s="11" t="n">
        <v>0</v>
      </c>
      <c r="H45" s="11" t="n">
        <v>0</v>
      </c>
      <c r="I45" s="9" t="n">
        <v>0</v>
      </c>
    </row>
    <row r="46" ht="21" customHeight="1">
      <c r="A46" s="10" t="n">
        <v>40637</v>
      </c>
      <c r="B46" s="11" t="n">
        <v>20</v>
      </c>
      <c r="C46" s="11" t="n">
        <v>0</v>
      </c>
      <c r="D46" s="11" t="n">
        <v>0</v>
      </c>
      <c r="E46" s="11" t="n">
        <v>373</v>
      </c>
      <c r="F46" s="11" t="n">
        <v>0</v>
      </c>
      <c r="G46" s="11" t="n">
        <v>0</v>
      </c>
      <c r="H46" s="11" t="n">
        <v>0</v>
      </c>
      <c r="I46" s="11" t="n">
        <v>0</v>
      </c>
    </row>
    <row r="47" ht="21" customHeight="1">
      <c r="A47" s="8" t="n">
        <v>40638</v>
      </c>
      <c r="B47" s="11" t="n">
        <v>0</v>
      </c>
      <c r="C47" s="11" t="n">
        <v>25</v>
      </c>
      <c r="D47" s="11" t="n">
        <v>35</v>
      </c>
      <c r="E47" s="11" t="n">
        <v>0</v>
      </c>
      <c r="F47" s="11" t="n">
        <v>0</v>
      </c>
      <c r="G47" s="11" t="n">
        <v>0</v>
      </c>
      <c r="H47" s="11" t="n">
        <v>0</v>
      </c>
      <c r="I47" s="11" t="n">
        <v>0</v>
      </c>
    </row>
    <row r="48" ht="21" customHeight="1">
      <c r="A48" s="10" t="n">
        <v>40639</v>
      </c>
      <c r="B48" s="11" t="n">
        <v>10</v>
      </c>
      <c r="C48" s="11" t="n">
        <v>14</v>
      </c>
      <c r="D48" s="11" t="n">
        <v>0</v>
      </c>
      <c r="E48" s="11" t="n">
        <v>0</v>
      </c>
      <c r="F48" s="11" t="n">
        <v>0</v>
      </c>
      <c r="G48" s="11" t="n">
        <v>0</v>
      </c>
      <c r="H48" s="11" t="n">
        <v>0</v>
      </c>
      <c r="I48" s="11" t="n">
        <v>0</v>
      </c>
    </row>
    <row r="49" ht="21" customHeight="1">
      <c r="A49" s="8" t="n">
        <v>40640</v>
      </c>
      <c r="B49" s="11" t="n">
        <v>0</v>
      </c>
      <c r="C49" s="11" t="n">
        <v>7</v>
      </c>
      <c r="D49" s="11" t="n">
        <v>0</v>
      </c>
      <c r="E49" s="11" t="n">
        <v>0</v>
      </c>
      <c r="F49" s="11" t="n">
        <v>0</v>
      </c>
      <c r="G49" s="11" t="n">
        <v>0</v>
      </c>
      <c r="H49" s="11" t="n">
        <v>0</v>
      </c>
      <c r="I49" s="11" t="n">
        <v>0</v>
      </c>
    </row>
    <row r="50" ht="21" customHeight="1">
      <c r="A50" s="10" t="n">
        <v>40641</v>
      </c>
      <c r="B50" s="11" t="n">
        <v>0</v>
      </c>
      <c r="C50" s="11" t="n">
        <v>119</v>
      </c>
      <c r="D50" s="11" t="n">
        <v>0</v>
      </c>
      <c r="E50" s="11" t="n">
        <v>0</v>
      </c>
      <c r="F50" s="11" t="n">
        <v>0</v>
      </c>
      <c r="G50" s="11" t="n">
        <v>0</v>
      </c>
      <c r="H50" s="11" t="n">
        <v>2</v>
      </c>
      <c r="I50" s="11" t="n">
        <v>0</v>
      </c>
    </row>
    <row r="51" ht="21" customHeight="1">
      <c r="A51" s="8" t="n">
        <v>40642</v>
      </c>
      <c r="B51" s="11" t="n">
        <v>15</v>
      </c>
      <c r="C51" s="11" t="n">
        <v>20</v>
      </c>
      <c r="D51" s="11" t="n">
        <v>25</v>
      </c>
      <c r="E51" s="11" t="n">
        <v>0</v>
      </c>
      <c r="F51" s="11" t="n">
        <v>0</v>
      </c>
      <c r="G51" s="11" t="n">
        <v>0</v>
      </c>
      <c r="H51" s="11" t="n">
        <v>0</v>
      </c>
      <c r="I51" s="11" t="n">
        <v>0</v>
      </c>
    </row>
    <row r="52" ht="21" customHeight="1">
      <c r="A52" s="10" t="n">
        <v>40643</v>
      </c>
      <c r="B52" s="11" t="n">
        <v>0</v>
      </c>
      <c r="C52" s="11" t="n">
        <v>0</v>
      </c>
      <c r="D52" s="11" t="n">
        <v>0</v>
      </c>
      <c r="E52" s="11" t="n">
        <v>0</v>
      </c>
      <c r="F52" s="11" t="n">
        <v>0</v>
      </c>
      <c r="G52" s="11" t="n">
        <v>0</v>
      </c>
      <c r="H52" s="11" t="n">
        <v>0</v>
      </c>
      <c r="I52" s="11" t="n">
        <v>0</v>
      </c>
    </row>
    <row r="53" ht="21" customHeight="1">
      <c r="A53" s="8" t="n">
        <v>40644</v>
      </c>
      <c r="B53" s="11" t="n">
        <v>64</v>
      </c>
      <c r="C53" s="11" t="n">
        <v>4</v>
      </c>
      <c r="D53" s="11" t="n">
        <v>0</v>
      </c>
      <c r="E53" s="11" t="n">
        <v>0</v>
      </c>
      <c r="F53" s="11" t="n">
        <v>17</v>
      </c>
      <c r="G53" s="11" t="n">
        <v>17</v>
      </c>
      <c r="H53" s="11" t="n">
        <v>0</v>
      </c>
      <c r="I53" s="11" t="n">
        <v>45</v>
      </c>
    </row>
    <row r="54" ht="21" customHeight="1">
      <c r="A54" s="10" t="n">
        <v>40645</v>
      </c>
      <c r="B54" s="11" t="n">
        <v>2</v>
      </c>
      <c r="C54" s="11" t="n">
        <v>0</v>
      </c>
      <c r="D54" s="11" t="n">
        <v>0</v>
      </c>
      <c r="E54" s="11" t="n">
        <v>0</v>
      </c>
      <c r="F54" s="11" t="n">
        <v>0</v>
      </c>
      <c r="G54" s="11" t="n">
        <v>0</v>
      </c>
      <c r="H54" s="11" t="n">
        <v>0</v>
      </c>
      <c r="I54" s="11" t="n">
        <v>0</v>
      </c>
    </row>
    <row r="55" ht="21" customHeight="1">
      <c r="A55" s="8" t="n">
        <v>40646</v>
      </c>
      <c r="B55" s="11" t="n">
        <v>5</v>
      </c>
      <c r="C55" s="11" t="n">
        <v>0</v>
      </c>
      <c r="D55" s="11" t="n">
        <v>0</v>
      </c>
      <c r="E55" s="11" t="n">
        <v>0</v>
      </c>
      <c r="F55" s="11" t="n">
        <v>47</v>
      </c>
      <c r="G55" s="11" t="n">
        <v>0</v>
      </c>
      <c r="H55" s="11" t="n">
        <v>56</v>
      </c>
      <c r="I55" s="11" t="n">
        <v>0</v>
      </c>
    </row>
    <row r="56" ht="21" customHeight="1">
      <c r="A56" s="10" t="n">
        <v>40647</v>
      </c>
      <c r="B56" s="11" t="n">
        <v>0</v>
      </c>
      <c r="C56" s="11" t="n">
        <v>5</v>
      </c>
      <c r="D56" s="11" t="n">
        <v>0</v>
      </c>
      <c r="E56" s="11" t="n">
        <v>19</v>
      </c>
      <c r="F56" s="11" t="n">
        <v>0</v>
      </c>
      <c r="G56" s="11" t="n">
        <v>60</v>
      </c>
      <c r="H56" s="11" t="n">
        <v>0</v>
      </c>
      <c r="I56" s="11" t="n">
        <v>3</v>
      </c>
    </row>
    <row r="57" ht="21" customHeight="1">
      <c r="A57" s="8" t="n">
        <v>40648</v>
      </c>
      <c r="B57" s="11" t="n">
        <v>69</v>
      </c>
      <c r="C57" s="11" t="n">
        <v>0</v>
      </c>
      <c r="D57" s="11" t="n">
        <v>0</v>
      </c>
      <c r="E57" s="11" t="n">
        <v>0</v>
      </c>
      <c r="F57" s="11" t="n">
        <v>0</v>
      </c>
      <c r="G57" s="11" t="n">
        <v>0</v>
      </c>
      <c r="H57" s="11" t="n">
        <v>0</v>
      </c>
      <c r="I57" s="11" t="n">
        <v>44</v>
      </c>
    </row>
    <row r="58" ht="21" customHeight="1">
      <c r="A58" s="10" t="n">
        <v>40649</v>
      </c>
      <c r="B58" s="11" t="n">
        <v>0</v>
      </c>
      <c r="C58" s="11" t="n">
        <v>0</v>
      </c>
      <c r="D58" s="11" t="n">
        <v>0</v>
      </c>
      <c r="E58" s="11" t="n">
        <v>0</v>
      </c>
      <c r="F58" s="11" t="n">
        <v>0</v>
      </c>
      <c r="G58" s="11" t="n">
        <v>0</v>
      </c>
      <c r="H58" s="11" t="n">
        <v>0</v>
      </c>
      <c r="I58" s="11" t="n">
        <v>13</v>
      </c>
    </row>
    <row r="59" ht="21" customHeight="1">
      <c r="A59" s="8" t="n">
        <v>40650</v>
      </c>
      <c r="B59" s="11" t="n">
        <v>0</v>
      </c>
      <c r="C59" s="11" t="n">
        <v>45</v>
      </c>
      <c r="D59" s="11" t="n">
        <v>0</v>
      </c>
      <c r="E59" s="11" t="n">
        <v>60</v>
      </c>
      <c r="F59" s="11" t="n">
        <v>0</v>
      </c>
      <c r="G59" s="11" t="n">
        <v>0</v>
      </c>
      <c r="H59" s="11" t="n">
        <v>0</v>
      </c>
      <c r="I59" s="11" t="n">
        <v>0</v>
      </c>
    </row>
    <row r="60" ht="21" customHeight="1">
      <c r="A60" s="10" t="n">
        <v>40651</v>
      </c>
      <c r="B60" s="11" t="n">
        <v>19</v>
      </c>
      <c r="C60" s="11" t="n">
        <v>0</v>
      </c>
      <c r="D60" s="11" t="n">
        <v>15</v>
      </c>
      <c r="E60" s="11" t="n">
        <v>20</v>
      </c>
      <c r="F60" s="11" t="n">
        <v>8</v>
      </c>
      <c r="G60" s="11" t="n">
        <v>0</v>
      </c>
      <c r="H60" s="11" t="n">
        <v>0</v>
      </c>
      <c r="I60" s="11" t="n">
        <v>0</v>
      </c>
    </row>
    <row r="61" ht="21" customHeight="1">
      <c r="A61" s="8" t="n">
        <v>40652</v>
      </c>
      <c r="B61" s="11" t="n">
        <v>2</v>
      </c>
      <c r="C61" s="11" t="n">
        <v>0</v>
      </c>
      <c r="D61" s="11" t="n">
        <v>90</v>
      </c>
      <c r="E61" s="11" t="n">
        <v>0</v>
      </c>
      <c r="F61" s="11" t="n">
        <v>0</v>
      </c>
      <c r="G61" s="11" t="n">
        <v>0</v>
      </c>
      <c r="H61" s="11" t="n">
        <v>0</v>
      </c>
      <c r="I61" s="11" t="n">
        <v>25</v>
      </c>
    </row>
    <row r="62" ht="21" customHeight="1">
      <c r="A62" s="10" t="n">
        <v>40653</v>
      </c>
      <c r="B62" s="11" t="n">
        <v>14</v>
      </c>
      <c r="C62" s="11" t="n">
        <v>0</v>
      </c>
      <c r="D62" s="11" t="n">
        <v>0</v>
      </c>
      <c r="E62" s="11" t="n">
        <v>0</v>
      </c>
      <c r="F62" s="11" t="n">
        <v>120</v>
      </c>
      <c r="G62" s="11" t="n">
        <v>0</v>
      </c>
      <c r="H62" s="11" t="n">
        <v>12</v>
      </c>
      <c r="I62" s="11" t="n">
        <v>0</v>
      </c>
    </row>
    <row r="63" ht="21" customHeight="1">
      <c r="A63" s="8" t="n">
        <v>40654</v>
      </c>
      <c r="B63" s="11" t="n">
        <v>0</v>
      </c>
      <c r="C63" s="11" t="n">
        <v>0</v>
      </c>
      <c r="D63" s="11" t="n">
        <v>0</v>
      </c>
      <c r="E63" s="11" t="n">
        <v>0</v>
      </c>
      <c r="F63" s="11" t="n">
        <v>0</v>
      </c>
      <c r="G63" s="11" t="n">
        <v>0</v>
      </c>
      <c r="H63" s="11" t="n">
        <v>0</v>
      </c>
      <c r="I63" s="11" t="n">
        <v>0</v>
      </c>
    </row>
    <row r="64" ht="21" customHeight="1">
      <c r="A64" s="10" t="n">
        <v>40655</v>
      </c>
      <c r="B64" s="11" t="n">
        <v>0</v>
      </c>
      <c r="C64" s="11" t="n">
        <v>450</v>
      </c>
      <c r="D64" s="11" t="n">
        <v>0</v>
      </c>
      <c r="E64" s="11" t="n">
        <v>0</v>
      </c>
      <c r="F64" s="11" t="n">
        <v>0</v>
      </c>
      <c r="G64" s="11" t="n">
        <v>0</v>
      </c>
      <c r="H64" s="11" t="n">
        <v>0</v>
      </c>
      <c r="I64" s="11" t="n">
        <v>0</v>
      </c>
    </row>
    <row r="65" ht="21" customHeight="1">
      <c r="A65" s="8" t="n">
        <v>40656</v>
      </c>
      <c r="B65" s="11" t="n">
        <v>0</v>
      </c>
      <c r="C65" s="11" t="n">
        <v>0</v>
      </c>
      <c r="D65" s="11" t="n">
        <v>180</v>
      </c>
      <c r="E65" s="11" t="n">
        <v>0</v>
      </c>
      <c r="F65" s="11" t="n">
        <v>0</v>
      </c>
      <c r="G65" s="11" t="n">
        <v>0</v>
      </c>
      <c r="H65" s="11" t="n">
        <v>0</v>
      </c>
      <c r="I65" s="11" t="n">
        <v>0</v>
      </c>
    </row>
    <row r="66" ht="21" customHeight="1">
      <c r="A66" s="10" t="n">
        <v>40657</v>
      </c>
      <c r="B66" s="11" t="n">
        <v>0</v>
      </c>
      <c r="C66" s="11" t="n">
        <v>0</v>
      </c>
      <c r="D66" s="11" t="n">
        <v>0</v>
      </c>
      <c r="E66" s="11" t="n">
        <v>0</v>
      </c>
      <c r="F66" s="11" t="n">
        <v>0</v>
      </c>
      <c r="G66" s="11" t="n">
        <v>0</v>
      </c>
      <c r="H66" s="11" t="n">
        <v>0</v>
      </c>
      <c r="I66" s="11" t="n">
        <v>0</v>
      </c>
    </row>
    <row r="67" ht="21" customHeight="1">
      <c r="A67" s="8" t="n">
        <v>40658</v>
      </c>
      <c r="B67" s="11" t="n">
        <v>17</v>
      </c>
      <c r="C67" s="11" t="n">
        <v>0</v>
      </c>
      <c r="D67" s="11" t="n">
        <v>44</v>
      </c>
      <c r="E67" s="11" t="n">
        <v>0</v>
      </c>
      <c r="F67" s="11" t="n">
        <v>0</v>
      </c>
      <c r="G67" s="11" t="n">
        <v>0</v>
      </c>
      <c r="H67" s="11" t="n">
        <v>0</v>
      </c>
      <c r="I67" s="11" t="n">
        <v>0</v>
      </c>
    </row>
    <row r="68" ht="21" customHeight="1">
      <c r="A68" s="10" t="n">
        <v>40659</v>
      </c>
      <c r="B68" s="11" t="n">
        <v>2</v>
      </c>
      <c r="C68" s="11" t="n">
        <v>0</v>
      </c>
      <c r="D68" s="11" t="n">
        <v>15</v>
      </c>
      <c r="E68" s="11" t="n">
        <v>0</v>
      </c>
      <c r="F68" s="11" t="n">
        <v>0</v>
      </c>
      <c r="G68" s="11" t="n">
        <v>0</v>
      </c>
      <c r="H68" s="11" t="n">
        <v>0</v>
      </c>
      <c r="I68" s="11" t="n">
        <v>0</v>
      </c>
    </row>
    <row r="69" ht="21" customHeight="1">
      <c r="A69" s="8" t="n">
        <v>40660</v>
      </c>
      <c r="B69" s="11" t="n">
        <v>24</v>
      </c>
      <c r="C69" s="11" t="n">
        <v>0</v>
      </c>
      <c r="D69" s="11" t="n">
        <v>0</v>
      </c>
      <c r="E69" s="11" t="n">
        <v>0</v>
      </c>
      <c r="F69" s="11" t="n">
        <v>0</v>
      </c>
      <c r="G69" s="11" t="n">
        <v>0</v>
      </c>
      <c r="H69" s="11" t="n">
        <v>0</v>
      </c>
      <c r="I69" s="11" t="n">
        <v>0</v>
      </c>
    </row>
    <row r="70" ht="21" customHeight="1">
      <c r="A70" s="10" t="n">
        <v>40661</v>
      </c>
      <c r="B70" s="11" t="n">
        <v>19</v>
      </c>
      <c r="C70" s="11" t="n">
        <v>0</v>
      </c>
      <c r="D70" s="11" t="n">
        <v>95</v>
      </c>
      <c r="E70" s="11" t="n">
        <v>0</v>
      </c>
      <c r="F70" s="11" t="n">
        <v>0</v>
      </c>
      <c r="G70" s="11" t="n">
        <v>0</v>
      </c>
      <c r="H70" s="11" t="n">
        <v>0</v>
      </c>
      <c r="I70" s="11" t="n">
        <v>0</v>
      </c>
    </row>
    <row r="71" ht="21" customHeight="1">
      <c r="A71" s="8" t="n">
        <v>40662</v>
      </c>
      <c r="B71" s="11" t="n">
        <v>15</v>
      </c>
      <c r="C71" s="11" t="n">
        <v>0</v>
      </c>
      <c r="D71" s="11" t="n">
        <v>0</v>
      </c>
      <c r="E71" s="11" t="n">
        <v>0</v>
      </c>
      <c r="F71" s="11" t="n">
        <v>0</v>
      </c>
      <c r="G71" s="11" t="n">
        <v>0</v>
      </c>
      <c r="H71" s="11" t="n">
        <v>0</v>
      </c>
      <c r="I71" s="11" t="n">
        <v>0</v>
      </c>
    </row>
    <row r="72" ht="21.75" customHeight="1" thickBot="1">
      <c r="A72" s="10" t="n">
        <v>40663</v>
      </c>
      <c r="B72" s="11" t="n">
        <v>0</v>
      </c>
      <c r="C72" s="11" t="n">
        <v>0</v>
      </c>
      <c r="D72" s="11" t="n">
        <v>0</v>
      </c>
      <c r="E72" s="11" t="n">
        <v>0</v>
      </c>
      <c r="F72" s="11" t="n">
        <v>0</v>
      </c>
      <c r="G72" s="11" t="n">
        <v>0</v>
      </c>
      <c r="H72" s="11" t="n">
        <v>0</v>
      </c>
      <c r="I72" s="11" t="n">
        <v>0</v>
      </c>
    </row>
    <row r="73" ht="24.75" customHeight="1" thickBot="1" thickTop="1">
      <c r="A73" s="13" t="inlineStr">
        <is>
          <t xml:space="preserve">TOTAL MIN PERDIDO </t>
        </is>
      </c>
      <c r="B73" s="14">
        <f>SUM(B43:B72)</f>
        <v/>
      </c>
      <c r="C73" s="14">
        <f>SUM(C43:C72)</f>
        <v/>
      </c>
      <c r="D73" s="14">
        <f>SUM(D43:D72)</f>
        <v/>
      </c>
      <c r="E73" s="14">
        <f>SUM(E43:E72)</f>
        <v/>
      </c>
      <c r="F73" s="14">
        <f>SUM(F43:F72)</f>
        <v/>
      </c>
      <c r="G73" s="14">
        <f>SUM(G43:G72)</f>
        <v/>
      </c>
      <c r="H73" s="14">
        <f>SUM(H43:H72)</f>
        <v/>
      </c>
      <c r="I73" s="14">
        <f>SUM(I43:I72)</f>
        <v/>
      </c>
    </row>
    <row r="74" ht="24" customHeight="1" thickTop="1">
      <c r="A74" s="16" t="n"/>
      <c r="B74" s="17" t="n"/>
      <c r="C74" s="17" t="n"/>
      <c r="D74" s="17" t="n"/>
      <c r="E74" s="17" t="n"/>
      <c r="F74" s="17" t="n"/>
      <c r="G74" s="17" t="n"/>
      <c r="H74" s="17" t="n"/>
      <c r="I74" s="17" t="n"/>
    </row>
    <row r="75" ht="15.75" customHeight="1" thickBot="1"/>
    <row r="76" ht="15.75" customHeight="1" thickTop="1">
      <c r="A76" s="127" t="inlineStr">
        <is>
          <t xml:space="preserve">DÍA / planta </t>
        </is>
      </c>
      <c r="B76" s="127" t="inlineStr">
        <is>
          <t>BARRANQUILLA</t>
        </is>
      </c>
      <c r="C76" s="127" t="inlineStr">
        <is>
          <t>BELLO</t>
        </is>
      </c>
      <c r="D76" s="127" t="inlineStr">
        <is>
          <t>GASEOSAS LUX BLOMAX 8-1</t>
        </is>
      </c>
      <c r="E76" s="127" t="inlineStr">
        <is>
          <t>GASEOSAS LUX BLOMAX 8-3</t>
        </is>
      </c>
      <c r="F76" s="127" t="inlineStr">
        <is>
          <t>GASEOSAS LUX BLOMAX 14</t>
        </is>
      </c>
      <c r="G76" s="127" t="inlineStr">
        <is>
          <t>GASEOSAS LUX KRONES</t>
        </is>
      </c>
      <c r="H76" s="127" t="inlineStr">
        <is>
          <t>YUMBO LINEA HOT FILL</t>
        </is>
      </c>
      <c r="I76" s="127" t="inlineStr">
        <is>
          <t>YUMBO BLOMAX 20</t>
        </is>
      </c>
    </row>
    <row r="77" ht="24" customHeight="1" thickBot="1">
      <c r="A77" s="136" t="n"/>
      <c r="B77" s="136" t="n"/>
      <c r="C77" s="136" t="n"/>
      <c r="D77" s="136" t="n"/>
      <c r="E77" s="136" t="n"/>
      <c r="F77" s="136" t="n"/>
      <c r="G77" s="136" t="n"/>
      <c r="H77" s="136" t="n"/>
      <c r="I77" s="136" t="n"/>
    </row>
    <row r="78" ht="24" customHeight="1" thickTop="1">
      <c r="A78" s="8" t="n">
        <v>40603</v>
      </c>
      <c r="B78" s="9" t="n">
        <v>0</v>
      </c>
      <c r="C78" s="9" t="n">
        <v>10</v>
      </c>
      <c r="D78" s="9" t="n">
        <v>0</v>
      </c>
      <c r="E78" s="9" t="n">
        <v>0</v>
      </c>
      <c r="F78" s="9" t="n">
        <v>237</v>
      </c>
      <c r="G78" s="9" t="n">
        <v>15</v>
      </c>
      <c r="H78" s="9" t="n">
        <v>0</v>
      </c>
      <c r="I78" s="9" t="n">
        <v>0</v>
      </c>
    </row>
    <row r="79" ht="21" customHeight="1">
      <c r="A79" s="10" t="n">
        <v>40604</v>
      </c>
      <c r="B79" s="11" t="n">
        <v>4</v>
      </c>
      <c r="C79" s="11" t="n">
        <v>0</v>
      </c>
      <c r="D79" s="11" t="n">
        <v>0</v>
      </c>
      <c r="E79" s="9" t="n">
        <v>30</v>
      </c>
      <c r="F79" s="11" t="n">
        <v>0</v>
      </c>
      <c r="G79" s="11" t="n">
        <v>15</v>
      </c>
      <c r="H79" s="11" t="n">
        <v>0</v>
      </c>
      <c r="I79" s="9" t="n">
        <v>0</v>
      </c>
    </row>
    <row r="80" ht="21" customHeight="1">
      <c r="A80" s="10" t="n">
        <v>40605</v>
      </c>
      <c r="B80" s="11" t="n">
        <v>17</v>
      </c>
      <c r="C80" s="11" t="n">
        <v>560</v>
      </c>
      <c r="D80" s="11" t="n">
        <v>0</v>
      </c>
      <c r="E80" s="11" t="n">
        <v>0</v>
      </c>
      <c r="F80" s="11" t="n">
        <v>0</v>
      </c>
      <c r="G80" s="11" t="n">
        <v>0</v>
      </c>
      <c r="H80" s="11" t="n">
        <v>0</v>
      </c>
      <c r="I80" s="9" t="n">
        <v>0</v>
      </c>
    </row>
    <row r="81" ht="25.5" customHeight="1">
      <c r="A81" s="10" t="n">
        <v>40606</v>
      </c>
      <c r="B81" s="11" t="n">
        <v>4</v>
      </c>
      <c r="C81" s="11" t="n">
        <v>0</v>
      </c>
      <c r="D81" s="11" t="n">
        <v>0</v>
      </c>
      <c r="E81" s="11" t="n">
        <v>35</v>
      </c>
      <c r="F81" s="11" t="n">
        <v>0</v>
      </c>
      <c r="G81" s="11" t="n">
        <v>36</v>
      </c>
      <c r="H81" s="11" t="n">
        <v>0</v>
      </c>
      <c r="I81" s="11" t="n">
        <v>0</v>
      </c>
    </row>
    <row r="82" ht="21" customHeight="1">
      <c r="A82" s="10" t="n">
        <v>40607</v>
      </c>
      <c r="B82" s="11" t="n">
        <v>10</v>
      </c>
      <c r="C82" s="11" t="n">
        <v>25</v>
      </c>
      <c r="D82" s="11" t="n">
        <v>0</v>
      </c>
      <c r="E82" s="11" t="n">
        <v>0</v>
      </c>
      <c r="F82" s="11" t="n">
        <v>0</v>
      </c>
      <c r="G82" s="11" t="n">
        <v>0</v>
      </c>
      <c r="H82" s="11" t="n">
        <v>0</v>
      </c>
      <c r="I82" s="11" t="n">
        <v>0</v>
      </c>
    </row>
    <row r="83" ht="21" customHeight="1">
      <c r="A83" s="10" t="n">
        <v>40608</v>
      </c>
      <c r="B83" s="11" t="n">
        <v>0</v>
      </c>
      <c r="C83" s="11" t="n">
        <v>18</v>
      </c>
      <c r="D83" s="11" t="n">
        <v>0</v>
      </c>
      <c r="E83" s="11" t="n">
        <v>0</v>
      </c>
      <c r="F83" s="11" t="n">
        <v>0</v>
      </c>
      <c r="G83" s="11" t="n">
        <v>0</v>
      </c>
      <c r="H83" s="11" t="n">
        <v>0</v>
      </c>
      <c r="I83" s="11" t="n">
        <v>0</v>
      </c>
    </row>
    <row r="84" ht="21" customHeight="1">
      <c r="A84" s="10" t="n">
        <v>40609</v>
      </c>
      <c r="B84" s="11" t="n">
        <v>0</v>
      </c>
      <c r="C84" s="11" t="n">
        <v>0</v>
      </c>
      <c r="D84" s="11" t="n">
        <v>57</v>
      </c>
      <c r="E84" s="11" t="n">
        <v>60</v>
      </c>
      <c r="F84" s="11" t="n">
        <v>0</v>
      </c>
      <c r="G84" s="11" t="n">
        <v>90</v>
      </c>
      <c r="H84" s="11" t="n">
        <v>0</v>
      </c>
      <c r="I84" s="11" t="n">
        <v>9</v>
      </c>
    </row>
    <row r="85" ht="21" customHeight="1">
      <c r="A85" s="10" t="n">
        <v>40610</v>
      </c>
      <c r="B85" s="11" t="n">
        <v>29</v>
      </c>
      <c r="C85" s="11" t="n">
        <v>0</v>
      </c>
      <c r="D85" s="11" t="n">
        <v>30</v>
      </c>
      <c r="E85" s="11" t="n">
        <v>23</v>
      </c>
      <c r="F85" s="11" t="n">
        <v>0</v>
      </c>
      <c r="G85" s="11" t="n">
        <v>210</v>
      </c>
      <c r="H85" s="11" t="n">
        <v>0</v>
      </c>
      <c r="I85" s="11" t="n">
        <v>0</v>
      </c>
    </row>
    <row r="86" ht="21" customHeight="1">
      <c r="A86" s="10" t="n">
        <v>40611</v>
      </c>
      <c r="B86" s="11" t="n">
        <v>0</v>
      </c>
      <c r="C86" s="11" t="n">
        <v>0</v>
      </c>
      <c r="D86" s="11" t="n">
        <v>0</v>
      </c>
      <c r="E86" s="11" t="n">
        <v>0</v>
      </c>
      <c r="F86" s="11" t="n">
        <v>0</v>
      </c>
      <c r="G86" s="11" t="n">
        <v>0</v>
      </c>
      <c r="H86" s="11" t="n">
        <v>0</v>
      </c>
      <c r="I86" s="11" t="n">
        <v>0</v>
      </c>
    </row>
    <row r="87" ht="21" customHeight="1">
      <c r="A87" s="10" t="n">
        <v>40612</v>
      </c>
      <c r="B87" s="11" t="n">
        <v>2</v>
      </c>
      <c r="C87" s="11" t="n">
        <v>0</v>
      </c>
      <c r="D87" s="11" t="n">
        <v>0</v>
      </c>
      <c r="E87" s="11" t="n">
        <v>0</v>
      </c>
      <c r="F87" s="11" t="n">
        <v>0</v>
      </c>
      <c r="G87" s="11" t="n">
        <v>0</v>
      </c>
      <c r="H87" s="11" t="n">
        <v>0</v>
      </c>
      <c r="I87" s="11" t="n">
        <v>8</v>
      </c>
    </row>
    <row r="88" ht="21" customHeight="1">
      <c r="A88" s="10" t="n">
        <v>40613</v>
      </c>
      <c r="B88" s="11" t="n">
        <v>2</v>
      </c>
      <c r="C88" s="11" t="n">
        <v>190</v>
      </c>
      <c r="D88" s="11" t="n">
        <v>0</v>
      </c>
      <c r="E88" s="11" t="n">
        <v>57</v>
      </c>
      <c r="F88" s="11" t="n">
        <v>0</v>
      </c>
      <c r="G88" s="11" t="n">
        <v>0</v>
      </c>
      <c r="H88" s="11" t="n">
        <v>0</v>
      </c>
      <c r="I88" s="11" t="n">
        <v>20</v>
      </c>
    </row>
    <row r="89" ht="21" customHeight="1">
      <c r="A89" s="10" t="n">
        <v>40614</v>
      </c>
      <c r="B89" s="11" t="n">
        <v>0</v>
      </c>
      <c r="C89" s="11" t="n">
        <v>60</v>
      </c>
      <c r="D89" s="11" t="n">
        <v>0</v>
      </c>
      <c r="E89" s="11" t="n">
        <v>0</v>
      </c>
      <c r="F89" s="11" t="n">
        <v>60</v>
      </c>
      <c r="G89" s="11" t="n">
        <v>0</v>
      </c>
      <c r="H89" s="11" t="n">
        <v>0</v>
      </c>
      <c r="I89" s="11" t="n">
        <v>0</v>
      </c>
    </row>
    <row r="90" ht="21" customHeight="1">
      <c r="A90" s="10" t="n">
        <v>40615</v>
      </c>
      <c r="B90" s="11" t="n">
        <v>0</v>
      </c>
      <c r="C90" s="11" t="n">
        <v>0</v>
      </c>
      <c r="D90" s="11" t="n">
        <v>0</v>
      </c>
      <c r="E90" s="11" t="n">
        <v>0</v>
      </c>
      <c r="F90" s="11" t="n">
        <v>120</v>
      </c>
      <c r="G90" s="11" t="n">
        <v>0</v>
      </c>
      <c r="H90" s="11" t="n">
        <v>0</v>
      </c>
      <c r="I90" s="11" t="n">
        <v>0</v>
      </c>
    </row>
    <row r="91" ht="21" customHeight="1">
      <c r="A91" s="10" t="n">
        <v>40616</v>
      </c>
      <c r="B91" s="11" t="n">
        <v>0</v>
      </c>
      <c r="C91" s="11" t="n">
        <v>0</v>
      </c>
      <c r="D91" s="11" t="n">
        <v>0</v>
      </c>
      <c r="E91" s="11" t="n">
        <v>0</v>
      </c>
      <c r="F91" s="11" t="n">
        <v>93</v>
      </c>
      <c r="G91" s="11" t="n">
        <v>0</v>
      </c>
      <c r="H91" s="11" t="n">
        <v>0</v>
      </c>
      <c r="I91" s="11" t="n">
        <v>0</v>
      </c>
    </row>
    <row r="92" ht="21" customHeight="1">
      <c r="A92" s="10" t="n">
        <v>40617</v>
      </c>
      <c r="B92" s="11" t="n">
        <v>4</v>
      </c>
      <c r="C92" s="11" t="n">
        <v>10</v>
      </c>
      <c r="D92" s="11" t="n">
        <v>0</v>
      </c>
      <c r="E92" s="11" t="n">
        <v>0</v>
      </c>
      <c r="F92" s="11" t="n">
        <v>0</v>
      </c>
      <c r="G92" s="11" t="n">
        <v>0</v>
      </c>
      <c r="H92" s="11" t="n">
        <v>10</v>
      </c>
      <c r="I92" s="11" t="n">
        <v>0</v>
      </c>
    </row>
    <row r="93" ht="21" customHeight="1">
      <c r="A93" s="10" t="n">
        <v>40618</v>
      </c>
      <c r="B93" s="11" t="n">
        <v>2</v>
      </c>
      <c r="C93" s="11" t="n">
        <v>10</v>
      </c>
      <c r="D93" s="11" t="n">
        <v>0</v>
      </c>
      <c r="E93" s="11" t="n">
        <v>100</v>
      </c>
      <c r="F93" s="11" t="n">
        <v>0</v>
      </c>
      <c r="G93" s="11" t="n">
        <v>0</v>
      </c>
      <c r="H93" s="11" t="n">
        <v>0</v>
      </c>
      <c r="I93" s="11" t="n">
        <v>5</v>
      </c>
    </row>
    <row r="94" ht="21" customHeight="1">
      <c r="A94" s="10" t="n">
        <v>40619</v>
      </c>
      <c r="B94" s="11" t="n">
        <v>0</v>
      </c>
      <c r="C94" s="11" t="n">
        <v>0</v>
      </c>
      <c r="D94" s="11" t="n">
        <v>0</v>
      </c>
      <c r="E94" s="11" t="n">
        <v>10</v>
      </c>
      <c r="F94" s="11" t="n">
        <v>0</v>
      </c>
      <c r="G94" s="11" t="n">
        <v>0</v>
      </c>
      <c r="H94" s="11" t="n">
        <v>13</v>
      </c>
      <c r="I94" s="11" t="n">
        <v>1</v>
      </c>
    </row>
    <row r="95" ht="21" customHeight="1">
      <c r="A95" s="10" t="n">
        <v>40620</v>
      </c>
      <c r="B95" s="11" t="n">
        <v>8</v>
      </c>
      <c r="C95" s="11" t="n">
        <v>22</v>
      </c>
      <c r="D95" s="11" t="n">
        <v>124</v>
      </c>
      <c r="E95" s="11" t="n">
        <v>17</v>
      </c>
      <c r="F95" s="11" t="n">
        <v>0</v>
      </c>
      <c r="G95" s="11" t="n">
        <v>80</v>
      </c>
      <c r="H95" s="11" t="n">
        <v>0</v>
      </c>
      <c r="I95" s="11" t="n">
        <v>0</v>
      </c>
    </row>
    <row r="96" ht="21" customHeight="1">
      <c r="A96" s="10" t="n">
        <v>40621</v>
      </c>
      <c r="B96" s="11" t="n">
        <v>0</v>
      </c>
      <c r="C96" s="11" t="n">
        <v>8</v>
      </c>
      <c r="D96" s="11" t="n">
        <v>30</v>
      </c>
      <c r="E96" s="11" t="n">
        <v>0</v>
      </c>
      <c r="F96" s="11" t="n">
        <v>0</v>
      </c>
      <c r="G96" s="11" t="n">
        <v>0</v>
      </c>
      <c r="H96" s="11" t="n">
        <v>0</v>
      </c>
      <c r="I96" s="11" t="n">
        <v>8</v>
      </c>
    </row>
    <row r="97" ht="21" customHeight="1">
      <c r="A97" s="10" t="n">
        <v>40622</v>
      </c>
      <c r="B97" s="11" t="n">
        <v>0</v>
      </c>
      <c r="C97" s="11" t="n">
        <v>0</v>
      </c>
      <c r="D97" s="11" t="n">
        <v>0</v>
      </c>
      <c r="E97" s="11" t="n">
        <v>0</v>
      </c>
      <c r="F97" s="11" t="n">
        <v>0</v>
      </c>
      <c r="G97" s="11" t="n">
        <v>0</v>
      </c>
      <c r="H97" s="11" t="n">
        <v>0</v>
      </c>
      <c r="I97" s="11" t="n">
        <v>0</v>
      </c>
    </row>
    <row r="98" ht="21" customHeight="1">
      <c r="A98" s="10" t="n">
        <v>40623</v>
      </c>
      <c r="B98" s="11" t="n">
        <v>0</v>
      </c>
      <c r="C98" s="11" t="n">
        <v>0</v>
      </c>
      <c r="D98" s="11" t="n">
        <v>0</v>
      </c>
      <c r="E98" s="11" t="n">
        <v>0</v>
      </c>
      <c r="F98" s="11" t="n">
        <v>0</v>
      </c>
      <c r="G98" s="11" t="n">
        <v>0</v>
      </c>
      <c r="H98" s="11" t="n">
        <v>0</v>
      </c>
      <c r="I98" s="11" t="n">
        <v>0</v>
      </c>
    </row>
    <row r="99" ht="21" customHeight="1">
      <c r="A99" s="10" t="n">
        <v>40624</v>
      </c>
      <c r="B99" s="11" t="n">
        <v>0</v>
      </c>
      <c r="C99" s="11" t="n">
        <v>77</v>
      </c>
      <c r="D99" s="11" t="n">
        <v>0</v>
      </c>
      <c r="E99" s="11" t="n">
        <v>0</v>
      </c>
      <c r="F99" s="11" t="n">
        <v>0</v>
      </c>
      <c r="G99" s="11" t="n">
        <v>50</v>
      </c>
      <c r="H99" s="11" t="n">
        <v>0</v>
      </c>
      <c r="I99" s="11" t="n">
        <v>0</v>
      </c>
    </row>
    <row r="100" ht="21" customHeight="1">
      <c r="A100" s="10" t="n">
        <v>40625</v>
      </c>
      <c r="B100" s="11" t="n">
        <v>5</v>
      </c>
      <c r="C100" s="11" t="n">
        <v>20</v>
      </c>
      <c r="D100" s="11" t="n">
        <v>0</v>
      </c>
      <c r="E100" s="11" t="n">
        <v>0</v>
      </c>
      <c r="F100" s="11" t="n">
        <v>0</v>
      </c>
      <c r="G100" s="11" t="n">
        <v>0</v>
      </c>
      <c r="H100" s="11" t="n">
        <v>0</v>
      </c>
      <c r="I100" s="11" t="n">
        <v>5</v>
      </c>
    </row>
    <row r="101" ht="21" customHeight="1">
      <c r="A101" s="10" t="n">
        <v>40626</v>
      </c>
      <c r="B101" s="11" t="n">
        <v>2</v>
      </c>
      <c r="C101" s="11" t="n">
        <v>0</v>
      </c>
      <c r="D101" s="11" t="n">
        <v>0</v>
      </c>
      <c r="E101" s="11" t="n">
        <v>15</v>
      </c>
      <c r="F101" s="11" t="n">
        <v>0</v>
      </c>
      <c r="G101" s="11" t="n">
        <v>0</v>
      </c>
      <c r="H101" s="11" t="n">
        <v>0</v>
      </c>
      <c r="I101" s="11" t="n">
        <v>0</v>
      </c>
    </row>
    <row r="102" ht="21" customHeight="1">
      <c r="A102" s="10" t="n">
        <v>40627</v>
      </c>
      <c r="B102" s="11" t="n">
        <v>0</v>
      </c>
      <c r="C102" s="11" t="n">
        <v>0</v>
      </c>
      <c r="D102" s="11" t="n">
        <v>0</v>
      </c>
      <c r="E102" s="11" t="n">
        <v>0</v>
      </c>
      <c r="F102" s="11" t="n">
        <v>0</v>
      </c>
      <c r="G102" s="11" t="n">
        <v>20</v>
      </c>
      <c r="H102" s="11" t="n">
        <v>0</v>
      </c>
      <c r="I102" s="11" t="n">
        <v>0</v>
      </c>
    </row>
    <row r="103" ht="21" customHeight="1">
      <c r="A103" s="10" t="n">
        <v>40628</v>
      </c>
      <c r="B103" s="11" t="n">
        <v>4</v>
      </c>
      <c r="C103" s="11" t="n">
        <v>0</v>
      </c>
      <c r="D103" s="11" t="n">
        <v>0</v>
      </c>
      <c r="E103" s="11" t="n">
        <v>60</v>
      </c>
      <c r="F103" s="11" t="n">
        <v>0</v>
      </c>
      <c r="G103" s="11" t="n">
        <v>0</v>
      </c>
      <c r="H103" s="11" t="n">
        <v>0</v>
      </c>
      <c r="I103" s="11" t="n">
        <v>13</v>
      </c>
    </row>
    <row r="104" ht="21" customHeight="1">
      <c r="A104" s="10" t="n">
        <v>40629</v>
      </c>
      <c r="B104" s="11" t="n">
        <v>0</v>
      </c>
      <c r="C104" s="11" t="n">
        <v>0</v>
      </c>
      <c r="D104" s="11" t="n">
        <v>0</v>
      </c>
      <c r="E104" s="11" t="n">
        <v>45</v>
      </c>
      <c r="F104" s="11" t="n">
        <v>0</v>
      </c>
      <c r="G104" s="11" t="n">
        <v>0</v>
      </c>
      <c r="H104" s="11" t="n">
        <v>0</v>
      </c>
      <c r="I104" s="11" t="n">
        <v>0</v>
      </c>
    </row>
    <row r="105" ht="21" customHeight="1">
      <c r="A105" s="10" t="n">
        <v>40630</v>
      </c>
      <c r="B105" s="11" t="n">
        <v>2</v>
      </c>
      <c r="C105" s="11" t="n">
        <v>0</v>
      </c>
      <c r="D105" s="11" t="n">
        <v>0</v>
      </c>
      <c r="E105" s="11" t="n">
        <v>0</v>
      </c>
      <c r="F105" s="11" t="n">
        <v>25</v>
      </c>
      <c r="G105" s="11" t="n">
        <v>0</v>
      </c>
      <c r="H105" s="11" t="n">
        <v>6</v>
      </c>
      <c r="I105" s="11" t="n">
        <v>42</v>
      </c>
    </row>
    <row r="106" ht="21" customHeight="1">
      <c r="A106" s="10" t="n">
        <v>40631</v>
      </c>
      <c r="B106" s="11" t="n">
        <v>8</v>
      </c>
      <c r="C106" s="11" t="n">
        <v>0</v>
      </c>
      <c r="D106" s="11" t="n">
        <v>0</v>
      </c>
      <c r="E106" s="11" t="n">
        <v>20</v>
      </c>
      <c r="F106" s="11" t="n">
        <v>0</v>
      </c>
      <c r="G106" s="11" t="n">
        <v>53</v>
      </c>
      <c r="H106" s="11" t="n">
        <v>0</v>
      </c>
      <c r="I106" s="11" t="n">
        <v>0</v>
      </c>
    </row>
    <row r="107" ht="21" customHeight="1">
      <c r="A107" s="10" t="n">
        <v>40632</v>
      </c>
      <c r="B107" s="11" t="n">
        <v>5</v>
      </c>
      <c r="C107" s="11" t="n">
        <v>40</v>
      </c>
      <c r="D107" s="11" t="n">
        <v>0</v>
      </c>
      <c r="E107" s="11" t="n">
        <v>0</v>
      </c>
      <c r="F107" s="11" t="n">
        <v>0</v>
      </c>
      <c r="G107" s="11" t="n">
        <v>20</v>
      </c>
      <c r="H107" s="11" t="n">
        <v>0</v>
      </c>
      <c r="I107" s="11" t="n">
        <v>0</v>
      </c>
    </row>
    <row r="108" ht="21.75" customHeight="1" thickBot="1">
      <c r="A108" s="10" t="n">
        <v>40633</v>
      </c>
      <c r="B108" s="12" t="n">
        <v>0</v>
      </c>
      <c r="C108" s="12" t="n">
        <v>5</v>
      </c>
      <c r="D108" s="12" t="n">
        <v>0</v>
      </c>
      <c r="E108" s="12" t="n">
        <v>14</v>
      </c>
      <c r="F108" s="12" t="n">
        <v>0</v>
      </c>
      <c r="G108" s="12" t="n">
        <v>0</v>
      </c>
      <c r="H108" s="12" t="n">
        <v>0</v>
      </c>
      <c r="I108" s="12" t="n">
        <v>0</v>
      </c>
    </row>
    <row r="109" ht="24.75" customHeight="1" thickBot="1" thickTop="1">
      <c r="A109" s="13" t="inlineStr">
        <is>
          <t xml:space="preserve">TOTAL MIN PERDIDO </t>
        </is>
      </c>
      <c r="B109" s="14">
        <f>SUM(B78:B108)</f>
        <v/>
      </c>
      <c r="C109" s="14">
        <f>SUM(C78:C108)</f>
        <v/>
      </c>
      <c r="D109" s="14">
        <f>SUM(D78:D108)</f>
        <v/>
      </c>
      <c r="E109" s="14">
        <f>SUM(E78:E108)</f>
        <v/>
      </c>
      <c r="F109" s="14">
        <f>SUM(F78:F108)</f>
        <v/>
      </c>
      <c r="G109" s="14">
        <f>SUM(G78:G108)</f>
        <v/>
      </c>
      <c r="H109" s="14">
        <f>SUM(H78:H108)</f>
        <v/>
      </c>
      <c r="I109" s="14">
        <f>SUM(I78:I108)</f>
        <v/>
      </c>
    </row>
    <row r="110" ht="24" customHeight="1" thickTop="1">
      <c r="A110" s="16" t="n"/>
      <c r="B110" s="17" t="n"/>
      <c r="C110" s="17" t="n"/>
      <c r="D110" s="17" t="n"/>
      <c r="E110" s="17" t="n"/>
      <c r="F110" s="17" t="n"/>
      <c r="G110" s="17" t="n"/>
      <c r="H110" s="17" t="n"/>
      <c r="I110" s="17" t="n"/>
    </row>
    <row r="111" ht="15.75" customHeight="1" thickBot="1"/>
    <row r="112" ht="15.75" customHeight="1" thickTop="1">
      <c r="A112" s="127" t="inlineStr">
        <is>
          <t xml:space="preserve">DÍA / planta </t>
        </is>
      </c>
      <c r="B112" s="127" t="inlineStr">
        <is>
          <t>BARRANQUILLA</t>
        </is>
      </c>
      <c r="C112" s="127" t="inlineStr">
        <is>
          <t>BELLO</t>
        </is>
      </c>
      <c r="D112" s="127" t="inlineStr">
        <is>
          <t>GASEOSAS LUX BLOMAX 8-1</t>
        </is>
      </c>
      <c r="E112" s="127" t="inlineStr">
        <is>
          <t>GASEOSAS LUX BLOMAX 8-3</t>
        </is>
      </c>
      <c r="F112" s="127" t="inlineStr">
        <is>
          <t>GASEOSAS LUX BLOMAX 14</t>
        </is>
      </c>
      <c r="G112" s="127" t="inlineStr">
        <is>
          <t>GASEOSAS LUX KRONES</t>
        </is>
      </c>
      <c r="H112" s="127" t="inlineStr">
        <is>
          <t>YUMBO LINEA HOT FILL</t>
        </is>
      </c>
      <c r="I112" s="127" t="inlineStr">
        <is>
          <t>YUMBO BLOMAX 20</t>
        </is>
      </c>
    </row>
    <row r="113" ht="15.75" customHeight="1" thickBot="1">
      <c r="A113" s="136" t="n"/>
      <c r="B113" s="136" t="n"/>
      <c r="C113" s="136" t="n"/>
      <c r="D113" s="136" t="n"/>
      <c r="E113" s="136" t="n"/>
      <c r="F113" s="136" t="n"/>
      <c r="G113" s="136" t="n"/>
      <c r="H113" s="136" t="n"/>
      <c r="I113" s="136" t="n"/>
    </row>
    <row r="114" ht="21.75" customHeight="1" thickTop="1">
      <c r="A114" s="8" t="n">
        <v>40575</v>
      </c>
      <c r="B114" s="9" t="n">
        <v>70</v>
      </c>
      <c r="C114" s="9" t="n">
        <v>19</v>
      </c>
      <c r="D114" s="9" t="n">
        <v>0</v>
      </c>
      <c r="E114" s="9" t="n">
        <v>0</v>
      </c>
      <c r="F114" s="9" t="n">
        <v>20</v>
      </c>
      <c r="G114" s="9" t="n">
        <v>0</v>
      </c>
      <c r="H114" s="9" t="n">
        <v>0</v>
      </c>
      <c r="I114" s="9" t="n">
        <v>0</v>
      </c>
    </row>
    <row r="115" ht="21" customHeight="1">
      <c r="A115" s="10" t="n">
        <v>40576</v>
      </c>
      <c r="B115" s="11" t="n">
        <v>0</v>
      </c>
      <c r="C115" s="11" t="n">
        <v>0</v>
      </c>
      <c r="D115" s="11" t="n">
        <v>65</v>
      </c>
      <c r="E115" s="9" t="n">
        <v>0</v>
      </c>
      <c r="F115" s="11" t="n">
        <v>0</v>
      </c>
      <c r="G115" s="11" t="n">
        <v>0</v>
      </c>
      <c r="H115" s="11" t="n">
        <v>0</v>
      </c>
      <c r="I115" s="9" t="n">
        <v>0</v>
      </c>
    </row>
    <row r="116" ht="21" customHeight="1">
      <c r="A116" s="10" t="n">
        <v>40577</v>
      </c>
      <c r="B116" s="11" t="n">
        <v>17</v>
      </c>
      <c r="C116" s="11" t="n">
        <v>30</v>
      </c>
      <c r="D116" s="11" t="n">
        <v>15</v>
      </c>
      <c r="E116" s="11" t="n">
        <v>0</v>
      </c>
      <c r="F116" s="11" t="n">
        <v>29</v>
      </c>
      <c r="G116" s="11" t="n">
        <v>0</v>
      </c>
      <c r="H116" s="11" t="n">
        <v>0</v>
      </c>
      <c r="I116" s="9" t="n">
        <v>0</v>
      </c>
    </row>
    <row r="117" ht="21" customHeight="1">
      <c r="A117" s="10" t="n">
        <v>40578</v>
      </c>
      <c r="B117" s="11" t="n">
        <v>193</v>
      </c>
      <c r="C117" s="11" t="n">
        <v>9</v>
      </c>
      <c r="D117" s="11" t="n">
        <v>50</v>
      </c>
      <c r="E117" s="11" t="n">
        <v>10</v>
      </c>
      <c r="F117" s="11" t="n">
        <v>0</v>
      </c>
      <c r="G117" s="11" t="n">
        <v>0</v>
      </c>
      <c r="H117" s="11" t="n">
        <v>0</v>
      </c>
      <c r="I117" s="11" t="n">
        <v>0</v>
      </c>
    </row>
    <row r="118" ht="21" customHeight="1">
      <c r="A118" s="10" t="n">
        <v>40579</v>
      </c>
      <c r="B118" s="11" t="n">
        <v>2</v>
      </c>
      <c r="C118" s="11" t="n">
        <v>0</v>
      </c>
      <c r="D118" s="11" t="n">
        <v>0</v>
      </c>
      <c r="E118" s="11" t="n">
        <v>0</v>
      </c>
      <c r="F118" s="11" t="n">
        <v>0</v>
      </c>
      <c r="G118" s="11" t="n">
        <v>15</v>
      </c>
      <c r="H118" s="11" t="n">
        <v>0</v>
      </c>
      <c r="I118" s="11" t="n">
        <v>0</v>
      </c>
    </row>
    <row r="119" ht="21" customHeight="1">
      <c r="A119" s="10" t="n">
        <v>40580</v>
      </c>
      <c r="B119" s="11" t="n">
        <v>0</v>
      </c>
      <c r="C119" s="11" t="n">
        <v>0</v>
      </c>
      <c r="D119" s="11" t="n">
        <v>0</v>
      </c>
      <c r="E119" s="11" t="n">
        <v>0</v>
      </c>
      <c r="F119" s="11" t="n">
        <v>0</v>
      </c>
      <c r="G119" s="11" t="n">
        <v>0</v>
      </c>
      <c r="H119" s="11" t="n">
        <v>0</v>
      </c>
      <c r="I119" s="11" t="n">
        <v>0</v>
      </c>
    </row>
    <row r="120" ht="15.75" customHeight="1">
      <c r="A120" s="10" t="n">
        <v>40581</v>
      </c>
      <c r="B120" s="11" t="n">
        <v>0</v>
      </c>
      <c r="C120" s="11" t="n">
        <v>0</v>
      </c>
      <c r="D120" s="11" t="n">
        <v>200</v>
      </c>
      <c r="E120" s="11" t="n">
        <v>15</v>
      </c>
      <c r="F120" s="11" t="n">
        <v>0</v>
      </c>
      <c r="G120" s="11" t="n">
        <v>0</v>
      </c>
      <c r="H120" s="11" t="n">
        <v>0</v>
      </c>
      <c r="I120" s="11" t="n">
        <v>0</v>
      </c>
    </row>
    <row r="121" ht="21" customHeight="1">
      <c r="A121" s="10" t="n">
        <v>40582</v>
      </c>
      <c r="B121" s="11" t="n">
        <v>0</v>
      </c>
      <c r="C121" s="11" t="n">
        <v>10</v>
      </c>
      <c r="D121" s="11" t="n">
        <v>0</v>
      </c>
      <c r="E121" s="11" t="n">
        <v>0</v>
      </c>
      <c r="F121" s="11" t="n">
        <v>17</v>
      </c>
      <c r="G121" s="11" t="n">
        <v>25</v>
      </c>
      <c r="H121" s="11" t="n">
        <v>0</v>
      </c>
      <c r="I121" s="11" t="n">
        <v>70</v>
      </c>
    </row>
    <row r="122" ht="21" customHeight="1">
      <c r="A122" s="10" t="n">
        <v>40583</v>
      </c>
      <c r="B122" s="11" t="n">
        <v>10</v>
      </c>
      <c r="C122" s="11" t="n">
        <v>0</v>
      </c>
      <c r="D122" s="11" t="n">
        <v>20</v>
      </c>
      <c r="E122" s="11" t="n">
        <v>180</v>
      </c>
      <c r="F122" s="11" t="n">
        <v>0</v>
      </c>
      <c r="G122" s="11" t="n">
        <v>40</v>
      </c>
      <c r="H122" s="11" t="n">
        <v>0</v>
      </c>
      <c r="I122" s="11" t="n">
        <v>0</v>
      </c>
    </row>
    <row r="123" ht="21" customHeight="1">
      <c r="A123" s="10" t="n">
        <v>40584</v>
      </c>
      <c r="B123" s="11" t="n">
        <v>5</v>
      </c>
      <c r="C123" s="11" t="n">
        <v>0</v>
      </c>
      <c r="D123" s="11" t="n">
        <v>0</v>
      </c>
      <c r="E123" s="11" t="n">
        <v>90</v>
      </c>
      <c r="F123" s="11" t="n">
        <v>40</v>
      </c>
      <c r="G123" s="11" t="n">
        <v>0</v>
      </c>
      <c r="H123" s="11" t="n">
        <v>0</v>
      </c>
      <c r="I123" s="11" t="n">
        <v>0</v>
      </c>
    </row>
    <row r="124" ht="21" customHeight="1">
      <c r="A124" s="10" t="n">
        <v>40585</v>
      </c>
      <c r="B124" s="11" t="n">
        <v>0</v>
      </c>
      <c r="C124" s="11" t="n">
        <v>12</v>
      </c>
      <c r="D124" s="11" t="n">
        <v>25</v>
      </c>
      <c r="E124" s="11" t="n">
        <v>0</v>
      </c>
      <c r="F124" s="11" t="n">
        <v>0</v>
      </c>
      <c r="G124" s="11" t="n">
        <v>510</v>
      </c>
      <c r="H124" s="11" t="n">
        <v>0</v>
      </c>
      <c r="I124" s="11" t="n">
        <v>0</v>
      </c>
    </row>
    <row r="125" ht="21" customHeight="1">
      <c r="A125" s="10" t="n">
        <v>40586</v>
      </c>
      <c r="B125" s="11" t="n">
        <v>20</v>
      </c>
      <c r="C125" s="11" t="n">
        <v>12</v>
      </c>
      <c r="D125" s="11" t="n">
        <v>20</v>
      </c>
      <c r="E125" s="11" t="n">
        <v>0</v>
      </c>
      <c r="F125" s="11" t="n">
        <v>0</v>
      </c>
      <c r="G125" s="11" t="n">
        <v>60</v>
      </c>
      <c r="H125" s="11" t="n">
        <v>0</v>
      </c>
      <c r="I125" s="11" t="n">
        <v>0</v>
      </c>
    </row>
    <row r="126" ht="21" customHeight="1">
      <c r="A126" s="10" t="n">
        <v>40587</v>
      </c>
      <c r="B126" s="11" t="n">
        <v>0</v>
      </c>
      <c r="C126" s="11" t="n">
        <v>0</v>
      </c>
      <c r="D126" s="11" t="n">
        <v>0</v>
      </c>
      <c r="E126" s="11" t="n">
        <v>0</v>
      </c>
      <c r="F126" s="11" t="n">
        <v>60</v>
      </c>
      <c r="G126" s="11" t="n">
        <v>0</v>
      </c>
      <c r="H126" s="11" t="n">
        <v>0</v>
      </c>
      <c r="I126" s="11" t="n">
        <v>0</v>
      </c>
    </row>
    <row r="127" ht="21" customHeight="1">
      <c r="A127" s="10" t="n">
        <v>40588</v>
      </c>
      <c r="B127" s="11" t="n">
        <v>3</v>
      </c>
      <c r="C127" s="11" t="n">
        <v>0</v>
      </c>
      <c r="D127" s="11" t="n">
        <v>0</v>
      </c>
      <c r="E127" s="11" t="n">
        <v>0</v>
      </c>
      <c r="F127" s="11" t="n">
        <v>0</v>
      </c>
      <c r="G127" s="11" t="n">
        <v>25</v>
      </c>
      <c r="H127" s="11" t="n">
        <v>0</v>
      </c>
      <c r="I127" s="11" t="n">
        <v>0</v>
      </c>
    </row>
    <row r="128" ht="21" customHeight="1">
      <c r="A128" s="10" t="n">
        <v>40589</v>
      </c>
      <c r="B128" s="11" t="n">
        <v>11</v>
      </c>
      <c r="C128" s="11" t="n">
        <v>20</v>
      </c>
      <c r="D128" s="11" t="n">
        <v>0</v>
      </c>
      <c r="E128" s="11" t="n">
        <v>200</v>
      </c>
      <c r="F128" s="11" t="n">
        <v>75</v>
      </c>
      <c r="G128" s="11" t="n">
        <v>0</v>
      </c>
      <c r="H128" s="11" t="n">
        <v>0</v>
      </c>
      <c r="I128" s="11" t="n">
        <v>12</v>
      </c>
    </row>
    <row r="129" ht="21" customHeight="1">
      <c r="A129" s="10" t="n">
        <v>40590</v>
      </c>
      <c r="B129" s="11" t="n">
        <v>2</v>
      </c>
      <c r="C129" s="11" t="n">
        <v>15</v>
      </c>
      <c r="D129" s="11" t="n">
        <v>0</v>
      </c>
      <c r="E129" s="11" t="n">
        <v>0</v>
      </c>
      <c r="F129" s="11" t="n">
        <v>0</v>
      </c>
      <c r="G129" s="11" t="n">
        <v>30</v>
      </c>
      <c r="H129" s="11" t="n">
        <v>0</v>
      </c>
      <c r="I129" s="11" t="n">
        <v>0</v>
      </c>
    </row>
    <row r="130" ht="21" customHeight="1">
      <c r="A130" s="10" t="n">
        <v>40591</v>
      </c>
      <c r="B130" s="11" t="n">
        <v>2</v>
      </c>
      <c r="C130" s="11" t="n">
        <v>0</v>
      </c>
      <c r="D130" s="11" t="n">
        <v>15</v>
      </c>
      <c r="E130" s="11" t="n">
        <v>130</v>
      </c>
      <c r="F130" s="11" t="n">
        <v>0</v>
      </c>
      <c r="G130" s="11" t="n">
        <v>15</v>
      </c>
      <c r="H130" s="11" t="n">
        <v>0</v>
      </c>
      <c r="I130" s="11" t="n">
        <v>0</v>
      </c>
    </row>
    <row r="131" ht="21" customHeight="1">
      <c r="A131" s="10" t="n">
        <v>40592</v>
      </c>
      <c r="B131" s="11" t="n">
        <v>7</v>
      </c>
      <c r="C131" s="11" t="n">
        <v>0</v>
      </c>
      <c r="D131" s="11" t="n">
        <v>10</v>
      </c>
      <c r="E131" s="11" t="n">
        <v>50</v>
      </c>
      <c r="F131" s="11" t="n">
        <v>10</v>
      </c>
      <c r="G131" s="11" t="n">
        <v>0</v>
      </c>
      <c r="H131" s="11" t="n">
        <v>0</v>
      </c>
      <c r="I131" s="11" t="n">
        <v>0</v>
      </c>
    </row>
    <row r="132" ht="21" customHeight="1">
      <c r="A132" s="10" t="n">
        <v>40593</v>
      </c>
      <c r="B132" s="11" t="n">
        <v>0</v>
      </c>
      <c r="C132" s="11" t="n">
        <v>29</v>
      </c>
      <c r="D132" s="11" t="n">
        <v>0</v>
      </c>
      <c r="E132" s="11" t="n">
        <v>0</v>
      </c>
      <c r="F132" s="11" t="n">
        <v>0</v>
      </c>
      <c r="G132" s="11" t="n">
        <v>0</v>
      </c>
      <c r="H132" s="11" t="n">
        <v>0</v>
      </c>
      <c r="I132" s="11" t="n">
        <v>0</v>
      </c>
    </row>
    <row r="133" ht="21" customHeight="1">
      <c r="A133" s="10" t="n">
        <v>40594</v>
      </c>
      <c r="B133" s="11" t="n">
        <v>0</v>
      </c>
      <c r="C133" s="11" t="n">
        <v>0</v>
      </c>
      <c r="D133" s="11" t="n">
        <v>0</v>
      </c>
      <c r="E133" s="11" t="n">
        <v>0</v>
      </c>
      <c r="F133" s="11" t="n">
        <v>0</v>
      </c>
      <c r="G133" s="11" t="n">
        <v>0</v>
      </c>
      <c r="H133" s="11" t="n">
        <v>0</v>
      </c>
      <c r="I133" s="11" t="n">
        <v>0</v>
      </c>
    </row>
    <row r="134" ht="21" customHeight="1">
      <c r="A134" s="10" t="n">
        <v>40595</v>
      </c>
      <c r="B134" s="11" t="n">
        <v>0</v>
      </c>
      <c r="C134" s="11" t="n">
        <v>15</v>
      </c>
      <c r="D134" s="11" t="n">
        <v>21</v>
      </c>
      <c r="E134" s="11" t="n">
        <v>7</v>
      </c>
      <c r="F134" s="11" t="n">
        <v>0</v>
      </c>
      <c r="G134" s="11" t="n">
        <v>0</v>
      </c>
      <c r="H134" s="11" t="n">
        <v>0</v>
      </c>
      <c r="I134" s="11" t="n">
        <v>88</v>
      </c>
    </row>
    <row r="135" ht="21" customHeight="1">
      <c r="A135" s="10" t="n">
        <v>40596</v>
      </c>
      <c r="B135" s="11" t="n">
        <v>6</v>
      </c>
      <c r="C135" s="11" t="n">
        <v>0</v>
      </c>
      <c r="D135" s="11" t="n">
        <v>144</v>
      </c>
      <c r="E135" s="11" t="n">
        <v>0</v>
      </c>
      <c r="F135" s="11" t="n">
        <v>0</v>
      </c>
      <c r="G135" s="11" t="n">
        <v>15</v>
      </c>
      <c r="H135" s="11" t="n">
        <v>0</v>
      </c>
      <c r="I135" s="11" t="n">
        <v>0</v>
      </c>
    </row>
    <row r="136" ht="21" customHeight="1">
      <c r="A136" s="10" t="n">
        <v>40597</v>
      </c>
      <c r="B136" s="11" t="n">
        <v>1</v>
      </c>
      <c r="C136" s="11" t="n">
        <v>0</v>
      </c>
      <c r="D136" s="11" t="n">
        <v>0</v>
      </c>
      <c r="E136" s="11" t="n">
        <v>0</v>
      </c>
      <c r="F136" s="11" t="n">
        <v>0</v>
      </c>
      <c r="G136" s="11" t="n">
        <v>0</v>
      </c>
      <c r="H136" s="11" t="n">
        <v>0</v>
      </c>
      <c r="I136" s="11" t="n">
        <v>72</v>
      </c>
    </row>
    <row r="137" ht="21" customHeight="1">
      <c r="A137" s="10" t="n">
        <v>40598</v>
      </c>
      <c r="B137" s="11" t="n">
        <v>3</v>
      </c>
      <c r="C137" s="11" t="n">
        <v>0</v>
      </c>
      <c r="D137" s="11" t="n">
        <v>55</v>
      </c>
      <c r="E137" s="11" t="n">
        <v>0</v>
      </c>
      <c r="F137" s="11" t="n">
        <v>0</v>
      </c>
      <c r="G137" s="11" t="n">
        <v>0</v>
      </c>
      <c r="H137" s="11" t="n">
        <v>0</v>
      </c>
      <c r="I137" s="11" t="n">
        <v>0</v>
      </c>
    </row>
    <row r="138" ht="21" customHeight="1">
      <c r="A138" s="10" t="n">
        <v>40599</v>
      </c>
      <c r="B138" s="11" t="n">
        <v>5</v>
      </c>
      <c r="C138" s="11" t="n">
        <v>20</v>
      </c>
      <c r="D138" s="11" t="n">
        <v>0</v>
      </c>
      <c r="E138" s="11" t="n">
        <v>15</v>
      </c>
      <c r="F138" s="11" t="n">
        <v>0</v>
      </c>
      <c r="G138" s="11" t="n">
        <v>24</v>
      </c>
      <c r="H138" s="11" t="n">
        <v>0</v>
      </c>
      <c r="I138" s="11" t="n">
        <v>0</v>
      </c>
    </row>
    <row r="139" ht="21" customHeight="1">
      <c r="A139" s="10" t="n">
        <v>40600</v>
      </c>
      <c r="B139" s="11" t="n">
        <v>4</v>
      </c>
      <c r="C139" s="11" t="n">
        <v>0</v>
      </c>
      <c r="D139" s="11" t="n">
        <v>0</v>
      </c>
      <c r="E139" s="11" t="n">
        <v>20</v>
      </c>
      <c r="F139" s="11" t="n">
        <v>0</v>
      </c>
      <c r="G139" s="11" t="n">
        <v>29</v>
      </c>
      <c r="H139" s="11" t="n">
        <v>0</v>
      </c>
      <c r="I139" s="11" t="n">
        <v>0</v>
      </c>
    </row>
    <row r="140" ht="21" customHeight="1">
      <c r="A140" s="10" t="n">
        <v>40601</v>
      </c>
      <c r="B140" s="11" t="n">
        <v>0</v>
      </c>
      <c r="C140" s="11" t="n">
        <v>0</v>
      </c>
      <c r="D140" s="11" t="n">
        <v>0</v>
      </c>
      <c r="E140" s="11" t="n">
        <v>0</v>
      </c>
      <c r="F140" s="11" t="n">
        <v>0</v>
      </c>
      <c r="G140" s="11" t="n">
        <v>0</v>
      </c>
      <c r="H140" s="11" t="n">
        <v>0</v>
      </c>
      <c r="I140" s="11" t="n">
        <v>0</v>
      </c>
    </row>
    <row r="141" ht="21" customHeight="1">
      <c r="A141" s="10" t="n">
        <v>40602</v>
      </c>
      <c r="B141" s="11" t="n">
        <v>8</v>
      </c>
      <c r="C141" s="11" t="n">
        <v>0</v>
      </c>
      <c r="D141" s="11" t="n">
        <v>0</v>
      </c>
      <c r="E141" s="11" t="n">
        <v>0</v>
      </c>
      <c r="F141" s="11" t="n">
        <v>0</v>
      </c>
      <c r="G141" s="11" t="n">
        <v>0</v>
      </c>
      <c r="H141" s="11" t="n">
        <v>0</v>
      </c>
      <c r="I141" s="11" t="n">
        <v>0</v>
      </c>
    </row>
    <row r="142" ht="21" customHeight="1">
      <c r="A142" s="8" t="n">
        <v>40572</v>
      </c>
      <c r="B142" s="11" t="n"/>
      <c r="C142" s="11" t="n"/>
      <c r="D142" s="11" t="n"/>
      <c r="E142" s="11" t="n"/>
      <c r="F142" s="11" t="n"/>
      <c r="G142" s="11" t="n"/>
      <c r="H142" s="11" t="n"/>
      <c r="I142" s="11" t="n"/>
    </row>
    <row r="143" ht="21" customHeight="1">
      <c r="A143" s="10" t="n">
        <v>40573</v>
      </c>
      <c r="B143" s="11" t="n"/>
      <c r="C143" s="11" t="n"/>
      <c r="D143" s="11" t="n"/>
      <c r="E143" s="11" t="n"/>
      <c r="F143" s="11" t="n"/>
      <c r="G143" s="11" t="n"/>
      <c r="H143" s="11" t="n"/>
      <c r="I143" s="11" t="n"/>
    </row>
    <row r="144" ht="21.75" customHeight="1" thickBot="1">
      <c r="A144" s="8" t="n">
        <v>40574</v>
      </c>
      <c r="B144" s="12" t="n"/>
      <c r="C144" s="12" t="n"/>
      <c r="D144" s="12" t="n"/>
      <c r="E144" s="12" t="n"/>
      <c r="F144" s="12" t="n"/>
      <c r="G144" s="12" t="n"/>
      <c r="H144" s="12" t="n"/>
      <c r="I144" s="12" t="n"/>
    </row>
    <row r="145" ht="24.75" customHeight="1" thickBot="1" thickTop="1">
      <c r="A145" s="13" t="inlineStr">
        <is>
          <t xml:space="preserve">TOTAL MIN PERDIDO </t>
        </is>
      </c>
      <c r="B145" s="14">
        <f>SUM(B114:B144)</f>
        <v/>
      </c>
      <c r="C145" s="14">
        <f>SUM(C114:C144)</f>
        <v/>
      </c>
      <c r="D145" s="14">
        <f>SUM(D114:D144)</f>
        <v/>
      </c>
      <c r="E145" s="14">
        <f>SUM(E114:E144)</f>
        <v/>
      </c>
      <c r="F145" s="14">
        <f>SUM(F114:F144)</f>
        <v/>
      </c>
      <c r="G145" s="14">
        <f>SUM(G114:G144)</f>
        <v/>
      </c>
      <c r="H145" s="14">
        <f>SUM(H114:H144)</f>
        <v/>
      </c>
      <c r="I145" s="14">
        <f>SUM(I114:I144)</f>
        <v/>
      </c>
    </row>
    <row r="146" ht="24" customHeight="1" thickTop="1">
      <c r="A146" s="16" t="n"/>
      <c r="B146" s="17" t="n"/>
      <c r="C146" s="17" t="n"/>
      <c r="D146" s="17" t="n"/>
      <c r="E146" s="17" t="n"/>
      <c r="F146" s="17" t="n"/>
      <c r="G146" s="17" t="n"/>
      <c r="H146" s="17" t="n"/>
      <c r="I146" s="17" t="n"/>
    </row>
    <row r="147" ht="24" customHeight="1" thickBot="1">
      <c r="A147" s="16" t="n"/>
      <c r="B147" s="17" t="n"/>
      <c r="C147" s="17" t="n"/>
      <c r="D147" s="17" t="n"/>
      <c r="E147" s="17" t="n"/>
      <c r="F147" s="17" t="n"/>
      <c r="G147" s="17" t="n"/>
      <c r="H147" s="17" t="n"/>
      <c r="I147" s="17" t="n"/>
    </row>
    <row r="148" ht="15.75" customHeight="1" thickTop="1">
      <c r="A148" s="129" t="inlineStr">
        <is>
          <t xml:space="preserve">DÍA / planta </t>
        </is>
      </c>
      <c r="B148" s="129" t="inlineStr">
        <is>
          <t>BARRANQUILLA</t>
        </is>
      </c>
      <c r="C148" s="129" t="inlineStr">
        <is>
          <t>BELLO</t>
        </is>
      </c>
      <c r="D148" s="129" t="inlineStr">
        <is>
          <t>BLOMAX 8-1</t>
        </is>
      </c>
      <c r="E148" s="129" t="inlineStr">
        <is>
          <t>BLOMAX 8-3</t>
        </is>
      </c>
      <c r="F148" s="129" t="inlineStr">
        <is>
          <t xml:space="preserve"> BLOMAX 14</t>
        </is>
      </c>
      <c r="G148" s="129" t="inlineStr">
        <is>
          <t>KRONES</t>
        </is>
      </c>
      <c r="H148" s="129" t="inlineStr">
        <is>
          <t>HOT FILL</t>
        </is>
      </c>
      <c r="I148" s="129" t="inlineStr">
        <is>
          <t>BLOMAX 20</t>
        </is>
      </c>
    </row>
    <row r="149" ht="15.75" customHeight="1" thickBot="1">
      <c r="A149" s="136" t="n"/>
      <c r="B149" s="136" t="n"/>
      <c r="C149" s="136" t="n"/>
      <c r="D149" s="136" t="n"/>
      <c r="E149" s="136" t="n"/>
      <c r="F149" s="136" t="n"/>
      <c r="G149" s="136" t="n"/>
      <c r="H149" s="136" t="n"/>
      <c r="I149" s="136" t="n"/>
    </row>
    <row r="150" ht="21.75" customHeight="1" thickTop="1">
      <c r="A150" s="18" t="n">
        <v>40544</v>
      </c>
      <c r="B150" s="19" t="n">
        <v>0</v>
      </c>
      <c r="C150" s="19" t="n">
        <v>0</v>
      </c>
      <c r="D150" s="19" t="n">
        <v>0</v>
      </c>
      <c r="E150" s="19" t="n">
        <v>25</v>
      </c>
      <c r="F150" s="19" t="n">
        <v>0</v>
      </c>
      <c r="G150" s="19" t="n">
        <v>0</v>
      </c>
      <c r="H150" s="19" t="n">
        <v>0</v>
      </c>
      <c r="I150" s="19" t="n">
        <v>0</v>
      </c>
    </row>
    <row r="151" ht="21" customHeight="1">
      <c r="A151" s="20" t="n">
        <v>40545</v>
      </c>
      <c r="B151" s="21" t="n">
        <v>24</v>
      </c>
      <c r="C151" s="21" t="n">
        <v>0</v>
      </c>
      <c r="D151" s="21" t="n">
        <v>0</v>
      </c>
      <c r="E151" s="19" t="n">
        <v>0</v>
      </c>
      <c r="F151" s="21" t="n">
        <v>0</v>
      </c>
      <c r="G151" s="21" t="n">
        <v>0</v>
      </c>
      <c r="H151" s="21" t="n">
        <v>0</v>
      </c>
      <c r="I151" s="19" t="n">
        <v>0</v>
      </c>
    </row>
    <row r="152" ht="21" customHeight="1">
      <c r="A152" s="18" t="n">
        <v>40546</v>
      </c>
      <c r="B152" s="21" t="n">
        <v>75</v>
      </c>
      <c r="C152" s="21" t="n">
        <v>0</v>
      </c>
      <c r="D152" s="21" t="n">
        <v>240</v>
      </c>
      <c r="E152" s="21" t="n">
        <v>0</v>
      </c>
      <c r="F152" s="21" t="n">
        <v>0</v>
      </c>
      <c r="G152" s="21" t="n">
        <v>13</v>
      </c>
      <c r="H152" s="21" t="n">
        <v>0</v>
      </c>
      <c r="I152" s="19" t="n">
        <v>0</v>
      </c>
    </row>
    <row r="153" ht="21" customHeight="1">
      <c r="A153" s="20" t="n">
        <v>40547</v>
      </c>
      <c r="B153" s="21" t="n">
        <v>14</v>
      </c>
      <c r="C153" s="21" t="n">
        <v>7</v>
      </c>
      <c r="D153" s="21" t="n">
        <v>15</v>
      </c>
      <c r="E153" s="21" t="n">
        <v>25</v>
      </c>
      <c r="F153" s="21" t="n">
        <v>0</v>
      </c>
      <c r="G153" s="21" t="n">
        <v>50</v>
      </c>
      <c r="H153" s="21" t="n">
        <v>0</v>
      </c>
      <c r="I153" s="21" t="n">
        <v>0</v>
      </c>
    </row>
    <row r="154" ht="21" customHeight="1">
      <c r="A154" s="18" t="n">
        <v>40548</v>
      </c>
      <c r="B154" s="21" t="n">
        <v>25</v>
      </c>
      <c r="C154" s="21" t="n">
        <v>0</v>
      </c>
      <c r="D154" s="21" t="n">
        <v>0</v>
      </c>
      <c r="E154" s="21" t="n">
        <v>45</v>
      </c>
      <c r="F154" s="21" t="n">
        <v>45</v>
      </c>
      <c r="G154" s="21" t="n">
        <v>25</v>
      </c>
      <c r="H154" s="21" t="n">
        <v>0</v>
      </c>
      <c r="I154" s="21" t="n">
        <v>58</v>
      </c>
    </row>
    <row r="155" ht="21" customHeight="1">
      <c r="A155" s="20" t="n">
        <v>40549</v>
      </c>
      <c r="B155" s="21" t="n">
        <v>0</v>
      </c>
      <c r="C155" s="21" t="n">
        <v>0</v>
      </c>
      <c r="D155" s="21" t="n">
        <v>0</v>
      </c>
      <c r="E155" s="21" t="n">
        <v>0</v>
      </c>
      <c r="F155" s="21" t="n">
        <v>60</v>
      </c>
      <c r="G155" s="21" t="n">
        <v>0</v>
      </c>
      <c r="H155" s="21" t="n">
        <v>0</v>
      </c>
      <c r="I155" s="21" t="n">
        <v>20</v>
      </c>
    </row>
    <row r="156" ht="21" customHeight="1">
      <c r="A156" s="18" t="n">
        <v>40550</v>
      </c>
      <c r="B156" s="21" t="n">
        <v>19</v>
      </c>
      <c r="C156" s="21" t="n">
        <v>30</v>
      </c>
      <c r="D156" s="21" t="n">
        <v>0</v>
      </c>
      <c r="E156" s="21" t="n">
        <v>0</v>
      </c>
      <c r="F156" s="21" t="n">
        <v>0</v>
      </c>
      <c r="G156" s="21" t="n">
        <v>58</v>
      </c>
      <c r="H156" s="21" t="n">
        <v>0</v>
      </c>
      <c r="I156" s="21" t="n">
        <v>3</v>
      </c>
    </row>
    <row r="157" ht="21" customHeight="1">
      <c r="A157" s="20" t="n">
        <v>40551</v>
      </c>
      <c r="B157" s="21" t="n">
        <v>0</v>
      </c>
      <c r="C157" s="21" t="n">
        <v>70</v>
      </c>
      <c r="D157" s="21" t="n">
        <v>157</v>
      </c>
      <c r="E157" s="21" t="n">
        <v>0</v>
      </c>
      <c r="F157" s="21" t="n">
        <v>0</v>
      </c>
      <c r="G157" s="21" t="n">
        <v>0</v>
      </c>
      <c r="H157" s="21" t="n">
        <v>0</v>
      </c>
      <c r="I157" s="21" t="n">
        <v>2</v>
      </c>
    </row>
    <row r="158" ht="21" customHeight="1">
      <c r="A158" s="18" t="n">
        <v>40552</v>
      </c>
      <c r="B158" s="21" t="n">
        <v>0</v>
      </c>
      <c r="C158" s="21" t="n">
        <v>20</v>
      </c>
      <c r="D158" s="21" t="n">
        <v>0</v>
      </c>
      <c r="E158" s="21" t="n">
        <v>0</v>
      </c>
      <c r="F158" s="21" t="n">
        <v>0</v>
      </c>
      <c r="G158" s="21" t="n">
        <v>0</v>
      </c>
      <c r="H158" s="21" t="n">
        <v>0</v>
      </c>
      <c r="I158" s="21" t="n">
        <v>0</v>
      </c>
    </row>
    <row r="159" ht="21" customHeight="1">
      <c r="A159" s="20" t="n">
        <v>40553</v>
      </c>
      <c r="B159" s="21" t="n">
        <v>0</v>
      </c>
      <c r="C159" s="21" t="n">
        <v>0</v>
      </c>
      <c r="D159" s="21" t="n">
        <v>0</v>
      </c>
      <c r="E159" s="21" t="n">
        <v>10</v>
      </c>
      <c r="F159" s="21" t="n">
        <v>0</v>
      </c>
      <c r="G159" s="21" t="n">
        <v>0</v>
      </c>
      <c r="H159" s="21" t="n">
        <v>0</v>
      </c>
      <c r="I159" s="21" t="n">
        <v>0</v>
      </c>
    </row>
    <row r="160" ht="21" customHeight="1">
      <c r="A160" s="18" t="n">
        <v>40554</v>
      </c>
      <c r="B160" s="21" t="n">
        <v>0</v>
      </c>
      <c r="C160" s="21" t="n">
        <v>0</v>
      </c>
      <c r="D160" s="21" t="n">
        <v>0</v>
      </c>
      <c r="E160" s="21" t="n">
        <v>0</v>
      </c>
      <c r="F160" s="21" t="n">
        <v>0</v>
      </c>
      <c r="G160" s="21" t="n">
        <v>0</v>
      </c>
      <c r="H160" s="21" t="n">
        <v>0</v>
      </c>
      <c r="I160" s="21" t="n">
        <v>89</v>
      </c>
    </row>
    <row r="161" ht="21" customHeight="1">
      <c r="A161" s="20" t="n">
        <v>40555</v>
      </c>
      <c r="B161" s="21" t="n">
        <v>0</v>
      </c>
      <c r="C161" s="21" t="n">
        <v>10</v>
      </c>
      <c r="D161" s="21" t="n">
        <v>0</v>
      </c>
      <c r="E161" s="21" t="n">
        <v>0</v>
      </c>
      <c r="F161" s="21" t="n">
        <v>0</v>
      </c>
      <c r="G161" s="21" t="n">
        <v>0</v>
      </c>
      <c r="H161" s="21" t="n">
        <v>3</v>
      </c>
      <c r="I161" s="21" t="n">
        <v>39</v>
      </c>
    </row>
    <row r="162" ht="21" customHeight="1">
      <c r="A162" s="18" t="n">
        <v>40556</v>
      </c>
      <c r="B162" s="21" t="n">
        <v>1</v>
      </c>
      <c r="C162" s="21" t="n">
        <v>7</v>
      </c>
      <c r="D162" s="21" t="n">
        <v>0</v>
      </c>
      <c r="E162" s="21" t="n">
        <v>0</v>
      </c>
      <c r="F162" s="21" t="n">
        <v>25</v>
      </c>
      <c r="G162" s="21" t="n">
        <v>0</v>
      </c>
      <c r="H162" s="21" t="n">
        <v>0</v>
      </c>
      <c r="I162" s="21" t="n">
        <v>5</v>
      </c>
    </row>
    <row r="163" ht="21" customHeight="1">
      <c r="A163" s="20" t="n">
        <v>40557</v>
      </c>
      <c r="B163" s="21" t="n">
        <v>37</v>
      </c>
      <c r="C163" s="21" t="n">
        <v>0</v>
      </c>
      <c r="D163" s="21" t="n">
        <v>0</v>
      </c>
      <c r="E163" s="21" t="n">
        <v>0</v>
      </c>
      <c r="F163" s="21" t="n">
        <v>20</v>
      </c>
      <c r="G163" s="21" t="n">
        <v>0</v>
      </c>
      <c r="H163" s="21" t="n">
        <v>0</v>
      </c>
      <c r="I163" s="21" t="n">
        <v>11</v>
      </c>
    </row>
    <row r="164" ht="21" customHeight="1">
      <c r="A164" s="18" t="n">
        <v>40558</v>
      </c>
      <c r="B164" s="21" t="n">
        <v>11</v>
      </c>
      <c r="C164" s="21" t="n">
        <v>0</v>
      </c>
      <c r="D164" s="21" t="n">
        <v>15</v>
      </c>
      <c r="E164" s="21" t="n">
        <v>0</v>
      </c>
      <c r="F164" s="21" t="n">
        <v>0</v>
      </c>
      <c r="G164" s="21" t="n">
        <v>0</v>
      </c>
      <c r="H164" s="21" t="n">
        <v>0</v>
      </c>
      <c r="I164" s="21" t="n">
        <v>0</v>
      </c>
    </row>
    <row r="165" ht="21" customHeight="1">
      <c r="A165" s="20" t="n">
        <v>40559</v>
      </c>
      <c r="B165" s="21" t="n">
        <v>0</v>
      </c>
      <c r="C165" s="21" t="n">
        <v>0</v>
      </c>
      <c r="D165" s="21" t="n">
        <v>0</v>
      </c>
      <c r="E165" s="21" t="n">
        <v>0</v>
      </c>
      <c r="F165" s="21" t="n">
        <v>0</v>
      </c>
      <c r="G165" s="21" t="n">
        <v>0</v>
      </c>
      <c r="H165" s="21" t="n">
        <v>0</v>
      </c>
      <c r="I165" s="21" t="n">
        <v>0</v>
      </c>
    </row>
    <row r="166" ht="21" customHeight="1">
      <c r="A166" s="18" t="n">
        <v>40560</v>
      </c>
      <c r="B166" s="21" t="n">
        <v>2</v>
      </c>
      <c r="C166" s="21" t="n">
        <v>40</v>
      </c>
      <c r="D166" s="21" t="n">
        <v>80</v>
      </c>
      <c r="E166" s="21" t="n">
        <v>0</v>
      </c>
      <c r="F166" s="21" t="n">
        <v>13</v>
      </c>
      <c r="G166" s="21" t="n">
        <v>26</v>
      </c>
      <c r="H166" s="21" t="n">
        <v>0</v>
      </c>
      <c r="I166" s="21" t="n">
        <v>130</v>
      </c>
    </row>
    <row r="167" ht="21" customHeight="1">
      <c r="A167" s="20" t="n">
        <v>40561</v>
      </c>
      <c r="B167" s="21" t="n">
        <v>0</v>
      </c>
      <c r="C167" s="21" t="n">
        <v>0</v>
      </c>
      <c r="D167" s="21" t="n">
        <v>450</v>
      </c>
      <c r="E167" s="21" t="n">
        <v>0</v>
      </c>
      <c r="F167" s="21" t="n">
        <v>16</v>
      </c>
      <c r="G167" s="21" t="n">
        <v>0</v>
      </c>
      <c r="H167" s="21" t="n">
        <v>0</v>
      </c>
      <c r="I167" s="21" t="n">
        <v>86</v>
      </c>
    </row>
    <row r="168" ht="21" customHeight="1">
      <c r="A168" s="18" t="n">
        <v>40562</v>
      </c>
      <c r="B168" s="21" t="n">
        <v>0</v>
      </c>
      <c r="C168" s="21" t="n">
        <v>0</v>
      </c>
      <c r="D168" s="21" t="n">
        <v>60</v>
      </c>
      <c r="E168" s="21" t="n">
        <v>20</v>
      </c>
      <c r="F168" s="21" t="n">
        <v>10</v>
      </c>
      <c r="G168" s="21" t="n">
        <v>0</v>
      </c>
      <c r="H168" s="21" t="n">
        <v>0</v>
      </c>
      <c r="I168" s="21" t="n">
        <v>0</v>
      </c>
    </row>
    <row r="169" ht="21" customHeight="1">
      <c r="A169" s="20" t="n">
        <v>40563</v>
      </c>
      <c r="B169" s="21" t="n">
        <v>105</v>
      </c>
      <c r="C169" s="21" t="n">
        <v>0</v>
      </c>
      <c r="D169" s="21" t="n">
        <v>0</v>
      </c>
      <c r="E169" s="21" t="n">
        <v>0</v>
      </c>
      <c r="F169" s="21" t="n">
        <v>95</v>
      </c>
      <c r="G169" s="21" t="n">
        <v>20</v>
      </c>
      <c r="H169" s="21" t="n">
        <v>0</v>
      </c>
      <c r="I169" s="21" t="n">
        <v>0</v>
      </c>
    </row>
    <row r="170" ht="21" customHeight="1">
      <c r="A170" s="18" t="n">
        <v>40564</v>
      </c>
      <c r="B170" s="21" t="n">
        <v>0</v>
      </c>
      <c r="C170" s="21" t="n">
        <v>0</v>
      </c>
      <c r="D170" s="21" t="n">
        <v>95</v>
      </c>
      <c r="E170" s="21" t="n">
        <v>0</v>
      </c>
      <c r="F170" s="21" t="n">
        <v>20</v>
      </c>
      <c r="G170" s="21" t="n">
        <v>0</v>
      </c>
      <c r="H170" s="21" t="n">
        <v>0</v>
      </c>
      <c r="I170" s="21" t="n">
        <v>0</v>
      </c>
    </row>
    <row r="171" ht="21" customHeight="1">
      <c r="A171" s="20" t="n">
        <v>40565</v>
      </c>
      <c r="B171" s="21" t="n">
        <v>6</v>
      </c>
      <c r="C171" s="21" t="n">
        <v>0</v>
      </c>
      <c r="D171" s="21" t="n">
        <v>0</v>
      </c>
      <c r="E171" s="21" t="n">
        <v>0</v>
      </c>
      <c r="F171" s="21" t="n">
        <v>0</v>
      </c>
      <c r="G171" s="21" t="n">
        <v>0</v>
      </c>
      <c r="H171" s="21" t="n">
        <v>0</v>
      </c>
      <c r="I171" s="21" t="n">
        <v>0</v>
      </c>
    </row>
    <row r="172" ht="21" customHeight="1">
      <c r="A172" s="18" t="n">
        <v>40566</v>
      </c>
      <c r="B172" s="21" t="n">
        <v>71</v>
      </c>
      <c r="C172" s="21" t="n">
        <v>0</v>
      </c>
      <c r="D172" s="21" t="n">
        <v>0</v>
      </c>
      <c r="E172" s="21" t="n">
        <v>40</v>
      </c>
      <c r="F172" s="21" t="n">
        <v>0</v>
      </c>
      <c r="G172" s="21" t="n">
        <v>0</v>
      </c>
      <c r="H172" s="21" t="n">
        <v>0</v>
      </c>
      <c r="I172" s="21" t="n">
        <v>0</v>
      </c>
    </row>
    <row r="173" ht="21" customHeight="1">
      <c r="A173" s="20" t="n">
        <v>40567</v>
      </c>
      <c r="B173" s="21" t="n">
        <v>12</v>
      </c>
      <c r="C173" s="21" t="n">
        <v>33</v>
      </c>
      <c r="D173" s="21" t="n">
        <v>70</v>
      </c>
      <c r="E173" s="21" t="n">
        <v>0</v>
      </c>
      <c r="F173" s="21" t="n">
        <v>0</v>
      </c>
      <c r="G173" s="21" t="n">
        <v>0</v>
      </c>
      <c r="H173" s="21" t="n">
        <v>0</v>
      </c>
      <c r="I173" s="21" t="n">
        <v>0</v>
      </c>
    </row>
    <row r="174" ht="21" customHeight="1">
      <c r="A174" s="18" t="n">
        <v>40568</v>
      </c>
      <c r="B174" s="21" t="n">
        <v>90</v>
      </c>
      <c r="C174" s="21" t="n">
        <v>0</v>
      </c>
      <c r="D174" s="21" t="n">
        <v>20</v>
      </c>
      <c r="E174" s="21" t="n">
        <v>145</v>
      </c>
      <c r="F174" s="21" t="n">
        <v>33</v>
      </c>
      <c r="G174" s="21" t="n">
        <v>12</v>
      </c>
      <c r="H174" s="21" t="n">
        <v>0</v>
      </c>
      <c r="I174" s="21" t="n">
        <v>0</v>
      </c>
    </row>
    <row r="175" ht="21" customHeight="1">
      <c r="A175" s="20" t="n">
        <v>40569</v>
      </c>
      <c r="B175" s="21" t="n">
        <v>0</v>
      </c>
      <c r="C175" s="21" t="n">
        <v>0</v>
      </c>
      <c r="D175" s="21" t="n">
        <v>80</v>
      </c>
      <c r="E175" s="21" t="n">
        <v>65</v>
      </c>
      <c r="F175" s="21" t="n">
        <v>0</v>
      </c>
      <c r="G175" s="21" t="n">
        <v>20</v>
      </c>
      <c r="H175" s="21" t="n">
        <v>0</v>
      </c>
      <c r="I175" s="21" t="n">
        <v>0</v>
      </c>
    </row>
    <row r="176" ht="21" customHeight="1">
      <c r="A176" s="18" t="n">
        <v>40570</v>
      </c>
      <c r="B176" s="21" t="n">
        <v>44</v>
      </c>
      <c r="C176" s="21" t="n">
        <v>10</v>
      </c>
      <c r="D176" s="21" t="n">
        <v>0</v>
      </c>
      <c r="E176" s="21" t="n">
        <v>0</v>
      </c>
      <c r="F176" s="21" t="n">
        <v>0</v>
      </c>
      <c r="G176" s="21" t="n">
        <v>0</v>
      </c>
      <c r="H176" s="21" t="n">
        <v>0</v>
      </c>
      <c r="I176" s="21" t="n">
        <v>0</v>
      </c>
    </row>
    <row r="177" ht="21" customHeight="1">
      <c r="A177" s="20" t="n">
        <v>40571</v>
      </c>
      <c r="B177" s="21" t="n">
        <v>75</v>
      </c>
      <c r="C177" s="21" t="n">
        <v>0</v>
      </c>
      <c r="D177" s="21" t="n">
        <v>30</v>
      </c>
      <c r="E177" s="21" t="n">
        <v>0</v>
      </c>
      <c r="F177" s="21" t="n">
        <v>15</v>
      </c>
      <c r="G177" s="21" t="n">
        <v>20</v>
      </c>
      <c r="H177" s="21" t="n">
        <v>0</v>
      </c>
      <c r="I177" s="21" t="n">
        <v>0</v>
      </c>
    </row>
    <row r="178" ht="21" customHeight="1">
      <c r="A178" s="18" t="n">
        <v>40572</v>
      </c>
      <c r="B178" s="21" t="n">
        <v>0</v>
      </c>
      <c r="C178" s="21" t="n">
        <v>0</v>
      </c>
      <c r="D178" s="21" t="n">
        <v>60</v>
      </c>
      <c r="E178" s="21" t="n">
        <v>0</v>
      </c>
      <c r="F178" s="21" t="n">
        <v>0</v>
      </c>
      <c r="G178" s="21" t="n">
        <v>1</v>
      </c>
      <c r="H178" s="21" t="n">
        <v>0</v>
      </c>
      <c r="I178" s="21" t="n">
        <v>0</v>
      </c>
    </row>
    <row r="179" ht="21" customHeight="1">
      <c r="A179" s="20" t="n">
        <v>40573</v>
      </c>
      <c r="B179" s="21" t="n">
        <v>0</v>
      </c>
      <c r="C179" s="21" t="n">
        <v>0</v>
      </c>
      <c r="D179" s="21" t="n">
        <v>0</v>
      </c>
      <c r="E179" s="21" t="n">
        <v>0</v>
      </c>
      <c r="F179" s="21" t="n">
        <v>0</v>
      </c>
      <c r="G179" s="21" t="n">
        <v>330</v>
      </c>
      <c r="H179" s="21" t="n">
        <v>0</v>
      </c>
      <c r="I179" s="21" t="n">
        <v>0</v>
      </c>
    </row>
    <row r="180" ht="21.75" customHeight="1" thickBot="1">
      <c r="A180" s="18" t="n">
        <v>40574</v>
      </c>
      <c r="B180" s="22" t="n">
        <v>0</v>
      </c>
      <c r="C180" s="22" t="n">
        <v>0</v>
      </c>
      <c r="D180" s="22" t="n">
        <v>41</v>
      </c>
      <c r="E180" s="22" t="n">
        <v>25</v>
      </c>
      <c r="F180" s="22" t="n">
        <v>0</v>
      </c>
      <c r="G180" s="22" t="n">
        <v>180</v>
      </c>
      <c r="H180" s="22" t="n">
        <v>0</v>
      </c>
      <c r="I180" s="22" t="n">
        <v>0</v>
      </c>
    </row>
    <row r="181" ht="24.75" customHeight="1" thickBot="1" thickTop="1">
      <c r="A181" s="23" t="inlineStr">
        <is>
          <t xml:space="preserve">TOTAL MIN PERDIDO </t>
        </is>
      </c>
      <c r="B181" s="24" t="n">
        <v>611</v>
      </c>
      <c r="C181" s="24" t="n">
        <v>227</v>
      </c>
      <c r="D181" s="24" t="n">
        <v>1413</v>
      </c>
      <c r="E181" s="24" t="n">
        <v>400</v>
      </c>
      <c r="F181" s="24" t="n">
        <v>352</v>
      </c>
      <c r="G181" s="24" t="n">
        <v>755</v>
      </c>
      <c r="H181" s="24" t="n">
        <v>3</v>
      </c>
      <c r="I181" s="24" t="n">
        <v>443</v>
      </c>
    </row>
    <row r="182" ht="24.75" customHeight="1" thickBot="1" thickTop="1">
      <c r="A182" s="16" t="n"/>
      <c r="B182" s="17" t="n"/>
      <c r="C182" s="17" t="n"/>
      <c r="D182" s="17" t="n"/>
      <c r="E182" s="17" t="n"/>
      <c r="F182" s="17" t="n"/>
      <c r="G182" s="17" t="n"/>
      <c r="H182" s="17" t="n"/>
      <c r="I182" s="17" t="n"/>
    </row>
    <row r="183" ht="15.75" customHeight="1" thickTop="1">
      <c r="A183" s="137" t="inlineStr">
        <is>
          <t xml:space="preserve">DÍA / planta </t>
        </is>
      </c>
      <c r="B183" s="137" t="inlineStr">
        <is>
          <t>BARRANQUILLA</t>
        </is>
      </c>
      <c r="C183" s="137" t="inlineStr">
        <is>
          <t>BELLO</t>
        </is>
      </c>
      <c r="D183" s="137" t="inlineStr">
        <is>
          <t>BLOMAX 8-1</t>
        </is>
      </c>
      <c r="E183" s="137" t="inlineStr">
        <is>
          <t>BLOMAX 8-3</t>
        </is>
      </c>
      <c r="F183" s="137" t="inlineStr">
        <is>
          <t xml:space="preserve"> BLOMAX 14</t>
        </is>
      </c>
      <c r="G183" s="137" t="inlineStr">
        <is>
          <t>KRONES</t>
        </is>
      </c>
      <c r="H183" s="137" t="inlineStr">
        <is>
          <t>HOT FILL</t>
        </is>
      </c>
      <c r="I183" s="137" t="inlineStr">
        <is>
          <t>BLOMAX 20</t>
        </is>
      </c>
    </row>
    <row r="184" ht="15.75" customHeight="1" thickBot="1">
      <c r="A184" s="138" t="n"/>
      <c r="B184" s="138" t="n"/>
      <c r="C184" s="138" t="n"/>
      <c r="D184" s="138" t="n"/>
      <c r="E184" s="138" t="n"/>
      <c r="F184" s="138" t="n"/>
      <c r="G184" s="138" t="n"/>
      <c r="H184" s="138" t="n"/>
      <c r="I184" s="138" t="n"/>
    </row>
    <row r="185" ht="21.75" customHeight="1" thickTop="1">
      <c r="A185" s="8" t="n">
        <v>40513</v>
      </c>
      <c r="B185" s="9" t="n">
        <v>0</v>
      </c>
      <c r="C185" s="9" t="n">
        <v>0</v>
      </c>
      <c r="D185" s="9" t="n">
        <v>20</v>
      </c>
      <c r="E185" s="9" t="n">
        <v>0</v>
      </c>
      <c r="F185" s="9" t="n">
        <v>5</v>
      </c>
      <c r="G185" s="9" t="n">
        <v>0</v>
      </c>
      <c r="H185" s="9" t="n">
        <v>0</v>
      </c>
      <c r="I185" s="9" t="n">
        <v>0</v>
      </c>
    </row>
    <row r="186" ht="21" customHeight="1">
      <c r="A186" s="10" t="n">
        <v>40514</v>
      </c>
      <c r="B186" s="11" t="n">
        <v>5</v>
      </c>
      <c r="C186" s="11" t="n">
        <v>6</v>
      </c>
      <c r="D186" s="11" t="n">
        <v>0</v>
      </c>
      <c r="E186" s="9" t="n">
        <v>55</v>
      </c>
      <c r="F186" s="11" t="n">
        <v>0</v>
      </c>
      <c r="G186" s="11" t="n">
        <v>112</v>
      </c>
      <c r="H186" s="11" t="n">
        <v>0</v>
      </c>
      <c r="I186" s="9" t="n">
        <v>0</v>
      </c>
    </row>
    <row r="187" ht="21" customHeight="1">
      <c r="A187" s="8" t="n">
        <v>40515</v>
      </c>
      <c r="B187" s="11" t="n">
        <v>0</v>
      </c>
      <c r="C187" s="11" t="n">
        <v>0</v>
      </c>
      <c r="D187" s="11" t="n">
        <v>7</v>
      </c>
      <c r="E187" s="11" t="n">
        <v>23</v>
      </c>
      <c r="F187" s="11" t="n">
        <v>0</v>
      </c>
      <c r="G187" s="11" t="n">
        <v>280</v>
      </c>
      <c r="H187" s="11" t="n">
        <v>0</v>
      </c>
      <c r="I187" s="9" t="n">
        <v>10</v>
      </c>
    </row>
    <row r="188" ht="21" customHeight="1">
      <c r="A188" s="10" t="n">
        <v>40516</v>
      </c>
      <c r="B188" s="11" t="n">
        <v>0</v>
      </c>
      <c r="C188" s="11" t="n">
        <v>0</v>
      </c>
      <c r="D188" s="11" t="n">
        <v>0</v>
      </c>
      <c r="E188" s="11" t="n">
        <v>0</v>
      </c>
      <c r="F188" s="11" t="n">
        <v>0</v>
      </c>
      <c r="G188" s="11" t="n">
        <v>25</v>
      </c>
      <c r="H188" s="11" t="n">
        <v>0</v>
      </c>
      <c r="I188" s="11" t="n">
        <v>0</v>
      </c>
    </row>
    <row r="189" ht="21" customHeight="1">
      <c r="A189" s="8" t="n">
        <v>40517</v>
      </c>
      <c r="B189" s="11" t="n">
        <v>0</v>
      </c>
      <c r="C189" s="11" t="n">
        <v>0</v>
      </c>
      <c r="D189" s="11" t="n">
        <v>0</v>
      </c>
      <c r="E189" s="11" t="n">
        <v>0</v>
      </c>
      <c r="F189" s="11" t="n">
        <v>0</v>
      </c>
      <c r="G189" s="11" t="n">
        <v>0</v>
      </c>
      <c r="H189" s="11" t="n">
        <v>0</v>
      </c>
      <c r="I189" s="11" t="n">
        <v>0</v>
      </c>
    </row>
    <row r="190" ht="21" customHeight="1">
      <c r="A190" s="10" t="n">
        <v>40518</v>
      </c>
      <c r="B190" s="11" t="n">
        <v>0</v>
      </c>
      <c r="C190" s="11" t="n">
        <v>25</v>
      </c>
      <c r="D190" s="11" t="n">
        <v>110</v>
      </c>
      <c r="E190" s="11" t="n">
        <v>0</v>
      </c>
      <c r="F190" s="11" t="n">
        <v>0</v>
      </c>
      <c r="G190" s="11" t="n">
        <v>20</v>
      </c>
      <c r="H190" s="11" t="n">
        <v>4</v>
      </c>
      <c r="I190" s="11" t="n">
        <v>2</v>
      </c>
    </row>
    <row r="191" ht="21" customHeight="1">
      <c r="A191" s="8" t="n">
        <v>40519</v>
      </c>
      <c r="B191" s="11" t="n">
        <v>0</v>
      </c>
      <c r="C191" s="11" t="n">
        <v>0</v>
      </c>
      <c r="D191" s="11" t="n">
        <v>66</v>
      </c>
      <c r="E191" s="11" t="n">
        <v>0</v>
      </c>
      <c r="F191" s="11" t="n">
        <v>10</v>
      </c>
      <c r="G191" s="11" t="n">
        <v>36</v>
      </c>
      <c r="H191" s="11" t="n">
        <v>0</v>
      </c>
      <c r="I191" s="11" t="n">
        <v>0</v>
      </c>
    </row>
    <row r="192" ht="21" customHeight="1">
      <c r="A192" s="10" t="n">
        <v>40520</v>
      </c>
      <c r="B192" s="11" t="n">
        <v>0</v>
      </c>
      <c r="C192" s="11" t="n">
        <v>50</v>
      </c>
      <c r="D192" s="11" t="n">
        <v>0</v>
      </c>
      <c r="E192" s="11" t="n">
        <v>75</v>
      </c>
      <c r="F192" s="11" t="n">
        <v>10</v>
      </c>
      <c r="G192" s="11" t="n">
        <v>0</v>
      </c>
      <c r="H192" s="11" t="n">
        <v>0</v>
      </c>
      <c r="I192" s="11" t="n">
        <v>0</v>
      </c>
    </row>
    <row r="193" ht="21" customHeight="1">
      <c r="A193" s="8" t="n">
        <v>40521</v>
      </c>
      <c r="B193" s="11" t="n">
        <v>147</v>
      </c>
      <c r="C193" s="11" t="n">
        <v>18</v>
      </c>
      <c r="D193" s="11" t="n">
        <v>0</v>
      </c>
      <c r="E193" s="11" t="n">
        <v>0</v>
      </c>
      <c r="F193" s="11" t="n">
        <v>0</v>
      </c>
      <c r="G193" s="11" t="n">
        <v>10</v>
      </c>
      <c r="H193" s="11" t="n">
        <v>0</v>
      </c>
      <c r="I193" s="11" t="n">
        <v>0</v>
      </c>
    </row>
    <row r="194" ht="21" customHeight="1">
      <c r="A194" s="10" t="n">
        <v>40522</v>
      </c>
      <c r="B194" s="11" t="n">
        <v>0</v>
      </c>
      <c r="C194" s="11" t="n">
        <v>0</v>
      </c>
      <c r="D194" s="11" t="n">
        <v>0</v>
      </c>
      <c r="E194" s="11" t="n">
        <v>0</v>
      </c>
      <c r="F194" s="11" t="n">
        <v>0</v>
      </c>
      <c r="G194" s="11" t="n">
        <v>0</v>
      </c>
      <c r="H194" s="11" t="n">
        <v>0</v>
      </c>
      <c r="I194" s="11" t="n">
        <v>31</v>
      </c>
    </row>
    <row r="195" ht="21" customHeight="1">
      <c r="A195" s="8" t="n">
        <v>40523</v>
      </c>
      <c r="B195" s="11" t="n">
        <v>24</v>
      </c>
      <c r="C195" s="11" t="n">
        <v>5</v>
      </c>
      <c r="D195" s="11" t="n">
        <v>0</v>
      </c>
      <c r="E195" s="11" t="n">
        <v>90</v>
      </c>
      <c r="F195" s="11" t="n">
        <v>0</v>
      </c>
      <c r="G195" s="11" t="n">
        <v>15</v>
      </c>
      <c r="H195" s="11" t="n">
        <v>0</v>
      </c>
      <c r="I195" s="11" t="n">
        <v>0</v>
      </c>
    </row>
    <row r="196" ht="21" customHeight="1">
      <c r="A196" s="10" t="n">
        <v>40524</v>
      </c>
      <c r="B196" s="11" t="n">
        <v>0</v>
      </c>
      <c r="C196" s="11" t="n">
        <v>60</v>
      </c>
      <c r="D196" s="11" t="n">
        <v>174</v>
      </c>
      <c r="E196" s="11" t="n">
        <v>0</v>
      </c>
      <c r="F196" s="11" t="n">
        <v>0</v>
      </c>
      <c r="G196" s="11" t="n">
        <v>15</v>
      </c>
      <c r="H196" s="11" t="n">
        <v>0</v>
      </c>
      <c r="I196" s="11" t="n">
        <v>0</v>
      </c>
    </row>
    <row r="197" ht="21" customHeight="1">
      <c r="A197" s="8" t="n">
        <v>40525</v>
      </c>
      <c r="B197" s="11" t="n">
        <v>0</v>
      </c>
      <c r="C197" s="11" t="n">
        <v>0</v>
      </c>
      <c r="D197" s="11" t="n">
        <v>0</v>
      </c>
      <c r="E197" s="11" t="n">
        <v>0</v>
      </c>
      <c r="F197" s="11" t="n">
        <v>0</v>
      </c>
      <c r="G197" s="11" t="n">
        <v>30</v>
      </c>
      <c r="H197" s="11" t="n">
        <v>1</v>
      </c>
      <c r="I197" s="11" t="n">
        <v>15</v>
      </c>
    </row>
    <row r="198" ht="21" customHeight="1">
      <c r="A198" s="10" t="n">
        <v>40526</v>
      </c>
      <c r="B198" s="11" t="n">
        <v>0</v>
      </c>
      <c r="C198" s="11" t="n">
        <v>30</v>
      </c>
      <c r="D198" s="11" t="n">
        <v>0</v>
      </c>
      <c r="E198" s="11" t="n">
        <v>0</v>
      </c>
      <c r="F198" s="11" t="n">
        <v>0</v>
      </c>
      <c r="G198" s="11" t="n">
        <v>14</v>
      </c>
      <c r="H198" s="11" t="n">
        <v>0</v>
      </c>
      <c r="I198" s="11" t="n">
        <v>0</v>
      </c>
    </row>
    <row r="199" ht="21" customHeight="1">
      <c r="A199" s="8" t="n">
        <v>40527</v>
      </c>
      <c r="B199" s="11" t="n">
        <v>6</v>
      </c>
      <c r="C199" s="11" t="n">
        <v>0</v>
      </c>
      <c r="D199" s="11" t="n">
        <v>21</v>
      </c>
      <c r="E199" s="11" t="n">
        <v>0</v>
      </c>
      <c r="F199" s="11" t="n">
        <v>0</v>
      </c>
      <c r="G199" s="11" t="n">
        <v>110</v>
      </c>
      <c r="H199" s="11" t="n">
        <v>0</v>
      </c>
      <c r="I199" s="11" t="n">
        <v>0</v>
      </c>
    </row>
    <row r="200" ht="21" customHeight="1">
      <c r="A200" s="10" t="n">
        <v>40528</v>
      </c>
      <c r="B200" s="11" t="n">
        <v>0</v>
      </c>
      <c r="C200" s="11" t="n">
        <v>3</v>
      </c>
      <c r="D200" s="11" t="n">
        <v>0</v>
      </c>
      <c r="E200" s="11" t="n">
        <v>0</v>
      </c>
      <c r="F200" s="11" t="n">
        <v>0</v>
      </c>
      <c r="G200" s="11" t="n">
        <v>86</v>
      </c>
      <c r="H200" s="11" t="n">
        <v>0</v>
      </c>
      <c r="I200" s="11" t="n">
        <v>0</v>
      </c>
    </row>
    <row r="201" ht="21" customHeight="1">
      <c r="A201" s="8" t="n">
        <v>40529</v>
      </c>
      <c r="B201" s="11" t="n">
        <v>0</v>
      </c>
      <c r="C201" s="11" t="n">
        <v>10</v>
      </c>
      <c r="D201" s="11" t="n">
        <v>0</v>
      </c>
      <c r="E201" s="11" t="n">
        <v>0</v>
      </c>
      <c r="F201" s="11" t="n">
        <v>0</v>
      </c>
      <c r="G201" s="11" t="n">
        <v>0</v>
      </c>
      <c r="H201" s="11" t="n">
        <v>0</v>
      </c>
      <c r="I201" s="11" t="n">
        <v>0</v>
      </c>
    </row>
    <row r="202" ht="21" customHeight="1">
      <c r="A202" s="10" t="n">
        <v>40530</v>
      </c>
      <c r="B202" s="11" t="n">
        <v>0</v>
      </c>
      <c r="C202" s="11" t="n">
        <v>121</v>
      </c>
      <c r="D202" s="11" t="n">
        <v>0</v>
      </c>
      <c r="E202" s="11" t="n">
        <v>0</v>
      </c>
      <c r="F202" s="11" t="n">
        <v>0</v>
      </c>
      <c r="G202" s="11" t="n">
        <v>0</v>
      </c>
      <c r="H202" s="11" t="n">
        <v>0</v>
      </c>
      <c r="I202" s="11" t="n">
        <v>0</v>
      </c>
    </row>
    <row r="203" ht="21" customHeight="1">
      <c r="A203" s="8" t="n">
        <v>40531</v>
      </c>
      <c r="B203" s="11" t="n">
        <v>0</v>
      </c>
      <c r="C203" s="11" t="n">
        <v>0</v>
      </c>
      <c r="D203" s="11" t="n">
        <v>0</v>
      </c>
      <c r="E203" s="11" t="n">
        <v>0</v>
      </c>
      <c r="F203" s="11" t="n">
        <v>0</v>
      </c>
      <c r="G203" s="11" t="n">
        <v>0</v>
      </c>
      <c r="H203" s="11" t="n">
        <v>0</v>
      </c>
      <c r="I203" s="11" t="n">
        <v>0</v>
      </c>
    </row>
    <row r="204" ht="21" customHeight="1">
      <c r="A204" s="10" t="n">
        <v>40532</v>
      </c>
      <c r="B204" s="11" t="n">
        <v>0</v>
      </c>
      <c r="C204" s="11" t="n">
        <v>15</v>
      </c>
      <c r="D204" s="11" t="n">
        <v>33</v>
      </c>
      <c r="E204" s="11" t="n">
        <v>0</v>
      </c>
      <c r="F204" s="11" t="n">
        <v>0</v>
      </c>
      <c r="G204" s="11" t="n">
        <v>0</v>
      </c>
      <c r="H204" s="11" t="n">
        <v>0</v>
      </c>
      <c r="I204" s="11" t="n">
        <v>37</v>
      </c>
    </row>
    <row r="205" ht="21" customHeight="1">
      <c r="A205" s="8" t="n">
        <v>40533</v>
      </c>
      <c r="B205" s="11" t="n">
        <v>96</v>
      </c>
      <c r="C205" s="11" t="n">
        <v>0</v>
      </c>
      <c r="D205" s="11" t="n">
        <v>140</v>
      </c>
      <c r="E205" s="11" t="n">
        <v>0</v>
      </c>
      <c r="F205" s="11" t="n">
        <v>0</v>
      </c>
      <c r="G205" s="11" t="n">
        <v>0</v>
      </c>
      <c r="H205" s="11" t="n">
        <v>0</v>
      </c>
      <c r="I205" s="11" t="n">
        <v>0</v>
      </c>
    </row>
    <row r="206" ht="21" customHeight="1">
      <c r="A206" s="10" t="n">
        <v>40534</v>
      </c>
      <c r="B206" s="11" t="n">
        <v>0</v>
      </c>
      <c r="C206" s="11" t="n">
        <v>0</v>
      </c>
      <c r="D206" s="11" t="n">
        <v>12</v>
      </c>
      <c r="E206" s="11" t="n">
        <v>0</v>
      </c>
      <c r="F206" s="11" t="n">
        <v>0</v>
      </c>
      <c r="G206" s="11" t="n">
        <v>130</v>
      </c>
      <c r="H206" s="11" t="n">
        <v>0</v>
      </c>
      <c r="I206" s="11" t="n">
        <v>0</v>
      </c>
    </row>
    <row r="207" ht="21" customHeight="1">
      <c r="A207" s="8" t="n">
        <v>40535</v>
      </c>
      <c r="B207" s="11" t="n">
        <v>18</v>
      </c>
      <c r="C207" s="11" t="n">
        <v>0</v>
      </c>
      <c r="D207" s="11" t="n">
        <v>0</v>
      </c>
      <c r="E207" s="11" t="n">
        <v>0</v>
      </c>
      <c r="F207" s="11" t="n">
        <v>0</v>
      </c>
      <c r="G207" s="11" t="n">
        <v>0</v>
      </c>
      <c r="H207" s="11" t="n">
        <v>0</v>
      </c>
      <c r="I207" s="11" t="n">
        <v>0</v>
      </c>
    </row>
    <row r="208" ht="21" customHeight="1">
      <c r="A208" s="10" t="n">
        <v>40536</v>
      </c>
      <c r="B208" s="11" t="n">
        <v>5</v>
      </c>
      <c r="C208" s="11" t="n">
        <v>0</v>
      </c>
      <c r="D208" s="11" t="n">
        <v>0</v>
      </c>
      <c r="E208" s="11" t="n">
        <v>0</v>
      </c>
      <c r="F208" s="11" t="n">
        <v>0</v>
      </c>
      <c r="G208" s="11" t="n">
        <v>0</v>
      </c>
      <c r="H208" s="11" t="n">
        <v>0</v>
      </c>
      <c r="I208" s="11" t="n">
        <v>0</v>
      </c>
    </row>
    <row r="209" ht="21" customHeight="1">
      <c r="A209" s="8" t="n">
        <v>40537</v>
      </c>
      <c r="B209" s="11" t="n">
        <v>0</v>
      </c>
      <c r="C209" s="11" t="n">
        <v>0</v>
      </c>
      <c r="D209" s="11" t="n">
        <v>0</v>
      </c>
      <c r="E209" s="11" t="n">
        <v>0</v>
      </c>
      <c r="F209" s="11" t="n">
        <v>0</v>
      </c>
      <c r="G209" s="11" t="n">
        <v>0</v>
      </c>
      <c r="H209" s="11" t="n">
        <v>0</v>
      </c>
      <c r="I209" s="11" t="n">
        <v>0</v>
      </c>
    </row>
    <row r="210" ht="21" customHeight="1">
      <c r="A210" s="10" t="n">
        <v>40538</v>
      </c>
      <c r="B210" s="11" t="n">
        <v>0</v>
      </c>
      <c r="C210" s="11" t="n">
        <v>0</v>
      </c>
      <c r="D210" s="11" t="n">
        <v>0</v>
      </c>
      <c r="E210" s="11" t="n">
        <v>0</v>
      </c>
      <c r="F210" s="11" t="n">
        <v>0</v>
      </c>
      <c r="G210" s="11" t="n">
        <v>0</v>
      </c>
      <c r="H210" s="11" t="n">
        <v>0</v>
      </c>
      <c r="I210" s="11" t="n">
        <v>0</v>
      </c>
    </row>
    <row r="211" ht="21" customHeight="1">
      <c r="A211" s="8" t="n">
        <v>40539</v>
      </c>
      <c r="B211" s="11" t="n">
        <v>24</v>
      </c>
      <c r="C211" s="11" t="n">
        <v>0</v>
      </c>
      <c r="D211" s="11" t="n">
        <v>30</v>
      </c>
      <c r="E211" s="11" t="n">
        <v>0</v>
      </c>
      <c r="F211" s="11" t="n">
        <v>0</v>
      </c>
      <c r="G211" s="11" t="n">
        <v>23</v>
      </c>
      <c r="H211" s="11" t="n">
        <v>0</v>
      </c>
      <c r="I211" s="11" t="n">
        <v>0</v>
      </c>
    </row>
    <row r="212" ht="21" customHeight="1">
      <c r="A212" s="10" t="n">
        <v>40540</v>
      </c>
      <c r="B212" s="11" t="n">
        <v>0</v>
      </c>
      <c r="C212" s="11" t="n">
        <v>0</v>
      </c>
      <c r="D212" s="11" t="n">
        <v>90</v>
      </c>
      <c r="E212" s="11" t="n">
        <v>30</v>
      </c>
      <c r="F212" s="11" t="n">
        <v>0</v>
      </c>
      <c r="G212" s="11" t="n">
        <v>0</v>
      </c>
      <c r="H212" s="11" t="n">
        <v>0</v>
      </c>
      <c r="I212" s="11" t="n">
        <v>36</v>
      </c>
    </row>
    <row r="213" ht="21" customHeight="1">
      <c r="A213" s="8" t="n">
        <v>40541</v>
      </c>
      <c r="B213" s="11" t="n">
        <v>0</v>
      </c>
      <c r="C213" s="11" t="n">
        <v>0</v>
      </c>
      <c r="D213" s="11" t="n">
        <v>0</v>
      </c>
      <c r="E213" s="11" t="n">
        <v>205</v>
      </c>
      <c r="F213" s="11" t="n">
        <v>0</v>
      </c>
      <c r="G213" s="11" t="n">
        <v>0</v>
      </c>
      <c r="H213" s="11" t="n">
        <v>0</v>
      </c>
      <c r="I213" s="11" t="n">
        <v>2</v>
      </c>
    </row>
    <row r="214" ht="21" customHeight="1">
      <c r="A214" s="10" t="n">
        <v>40542</v>
      </c>
      <c r="B214" s="11" t="n">
        <v>15</v>
      </c>
      <c r="C214" s="11" t="n">
        <v>0</v>
      </c>
      <c r="D214" s="11" t="n">
        <v>0</v>
      </c>
      <c r="E214" s="11" t="n">
        <v>0</v>
      </c>
      <c r="F214" s="11" t="n">
        <v>0</v>
      </c>
      <c r="G214" s="11" t="n">
        <v>0</v>
      </c>
      <c r="H214" s="11" t="n">
        <v>0</v>
      </c>
      <c r="I214" s="11" t="n">
        <v>32</v>
      </c>
    </row>
    <row r="215" ht="21.75" customHeight="1" thickBot="1">
      <c r="A215" s="8" t="n">
        <v>40543</v>
      </c>
      <c r="B215" s="12" t="n">
        <v>0</v>
      </c>
      <c r="C215" s="12" t="n">
        <v>0</v>
      </c>
      <c r="D215" s="12" t="n">
        <v>0</v>
      </c>
      <c r="E215" s="12" t="n">
        <v>0</v>
      </c>
      <c r="F215" s="12" t="n">
        <v>0</v>
      </c>
      <c r="G215" s="12" t="n">
        <v>0</v>
      </c>
      <c r="H215" s="12" t="n">
        <v>0</v>
      </c>
      <c r="I215" s="12" t="n">
        <v>0</v>
      </c>
    </row>
    <row r="216" ht="24.75" customHeight="1" thickBot="1" thickTop="1">
      <c r="A216" s="13" t="inlineStr">
        <is>
          <t xml:space="preserve">TOTAL MIN PERDIDO </t>
        </is>
      </c>
      <c r="B216" s="14">
        <f>SUM(B185:B215)</f>
        <v/>
      </c>
      <c r="C216" s="14">
        <f>SUM(C185:C215)</f>
        <v/>
      </c>
      <c r="D216" s="14">
        <f>SUM(D185:D215)</f>
        <v/>
      </c>
      <c r="E216" s="14">
        <f>SUM(E185:E215)</f>
        <v/>
      </c>
      <c r="F216" s="14">
        <f>SUM(F185:F215)</f>
        <v/>
      </c>
      <c r="G216" s="14">
        <f>SUM(G185:G215)</f>
        <v/>
      </c>
      <c r="H216" s="14">
        <f>SUM(H185:H215)</f>
        <v/>
      </c>
      <c r="I216" s="14">
        <f>SUM(I185:I215)</f>
        <v/>
      </c>
    </row>
    <row r="217" ht="15.75" customHeight="1" thickTop="1"/>
    <row r="218" ht="15.75" customHeight="1" thickBot="1"/>
    <row r="219" ht="15.75" customHeight="1" thickTop="1">
      <c r="A219" s="127" t="inlineStr">
        <is>
          <t xml:space="preserve">DÍA / planta </t>
        </is>
      </c>
      <c r="B219" s="127" t="inlineStr">
        <is>
          <t>BARRANQUILLA</t>
        </is>
      </c>
      <c r="C219" s="127" t="inlineStr">
        <is>
          <t>BELLO</t>
        </is>
      </c>
      <c r="D219" s="127" t="inlineStr">
        <is>
          <t>BLOMAX 8-1</t>
        </is>
      </c>
      <c r="E219" s="127" t="inlineStr">
        <is>
          <t>BLOMAX 8-3</t>
        </is>
      </c>
      <c r="F219" s="127" t="inlineStr">
        <is>
          <t xml:space="preserve"> BLOMAX 14</t>
        </is>
      </c>
      <c r="G219" s="127" t="inlineStr">
        <is>
          <t>HOT FILL</t>
        </is>
      </c>
      <c r="H219" s="127" t="inlineStr">
        <is>
          <t>BLOMAX 20</t>
        </is>
      </c>
    </row>
    <row r="220" ht="15.75" customHeight="1" thickBot="1">
      <c r="A220" s="136" t="n"/>
      <c r="B220" s="136" t="n"/>
      <c r="C220" s="136" t="n"/>
      <c r="D220" s="136" t="n"/>
      <c r="E220" s="136" t="n"/>
      <c r="F220" s="136" t="n"/>
      <c r="G220" s="136" t="n"/>
      <c r="H220" s="136" t="n"/>
    </row>
    <row r="221" ht="21.75" customHeight="1" thickTop="1">
      <c r="A221" s="8" t="n">
        <v>40483</v>
      </c>
      <c r="B221" s="9">
        <f>'[2]tiempos Perdidos IBERPLAST'!B9</f>
        <v/>
      </c>
      <c r="C221" s="9">
        <f>'[2]tiempos Perdidos IBERPLAST'!B10</f>
        <v/>
      </c>
      <c r="D221" s="9">
        <f>'[2]tiempos Perdidos IBERPLAST'!B11</f>
        <v/>
      </c>
      <c r="E221" s="9">
        <f>'[2]tiempos Perdidos IBERPLAST'!B12</f>
        <v/>
      </c>
      <c r="F221" s="9">
        <f>'[2]tiempos Perdidos IBERPLAST'!B13</f>
        <v/>
      </c>
      <c r="G221" s="9">
        <f>'[2]tiempos Perdidos IBERPLAST'!B14</f>
        <v/>
      </c>
      <c r="H221" s="9">
        <f>'[2]tiempos Perdidos IBERPLAST'!B15</f>
        <v/>
      </c>
    </row>
    <row r="222" ht="21" customHeight="1">
      <c r="A222" s="10" t="n">
        <v>40484</v>
      </c>
      <c r="B222" s="11">
        <f>'[2]tiempos Perdidos IBERPLAST'!C9</f>
        <v/>
      </c>
      <c r="C222" s="11">
        <f>'[2]tiempos Perdidos IBERPLAST'!C10</f>
        <v/>
      </c>
      <c r="D222" s="11">
        <f>'[2]tiempos Perdidos IBERPLAST'!C11</f>
        <v/>
      </c>
      <c r="E222" s="9">
        <f>'[2]tiempos Perdidos IBERPLAST'!C12</f>
        <v/>
      </c>
      <c r="F222" s="11">
        <f>'[2]tiempos Perdidos IBERPLAST'!C13</f>
        <v/>
      </c>
      <c r="G222" s="11">
        <f>'[2]tiempos Perdidos IBERPLAST'!C14</f>
        <v/>
      </c>
      <c r="H222" s="9">
        <f>'[2]tiempos Perdidos IBERPLAST'!C15</f>
        <v/>
      </c>
    </row>
    <row r="223" ht="21" customHeight="1">
      <c r="A223" s="10" t="n">
        <v>40485</v>
      </c>
      <c r="B223" s="11">
        <f>'[2]tiempos Perdidos IBERPLAST'!D9</f>
        <v/>
      </c>
      <c r="C223" s="11">
        <f>'[2]tiempos Perdidos IBERPLAST'!D10</f>
        <v/>
      </c>
      <c r="D223" s="11">
        <f>'[2]tiempos Perdidos IBERPLAST'!D11</f>
        <v/>
      </c>
      <c r="E223" s="11">
        <f>'[2]tiempos Perdidos IBERPLAST'!D12</f>
        <v/>
      </c>
      <c r="F223" s="11">
        <f>'[2]tiempos Perdidos IBERPLAST'!D13</f>
        <v/>
      </c>
      <c r="G223" s="11">
        <f>'[2]tiempos Perdidos IBERPLAST'!D14</f>
        <v/>
      </c>
      <c r="H223" s="9">
        <f>'[2]tiempos Perdidos IBERPLAST'!D15</f>
        <v/>
      </c>
    </row>
    <row r="224" ht="21" customHeight="1">
      <c r="A224" s="10" t="n">
        <v>40486</v>
      </c>
      <c r="B224" s="11">
        <f>'[2]tiempos Perdidos IBERPLAST'!E9</f>
        <v/>
      </c>
      <c r="C224" s="11">
        <f>'[2]tiempos Perdidos IBERPLAST'!E10</f>
        <v/>
      </c>
      <c r="D224" s="11">
        <f>'[2]tiempos Perdidos IBERPLAST'!E11</f>
        <v/>
      </c>
      <c r="E224" s="11">
        <f>'[2]tiempos Perdidos IBERPLAST'!E12</f>
        <v/>
      </c>
      <c r="F224" s="11">
        <f>'[2]tiempos Perdidos IBERPLAST'!E13</f>
        <v/>
      </c>
      <c r="G224" s="11">
        <f>'[2]tiempos Perdidos IBERPLAST'!E14</f>
        <v/>
      </c>
      <c r="H224" s="11">
        <f>'[2]tiempos Perdidos IBERPLAST'!E15</f>
        <v/>
      </c>
    </row>
    <row r="225" ht="21" customHeight="1">
      <c r="A225" s="10" t="n">
        <v>40487</v>
      </c>
      <c r="B225" s="11">
        <f>'[2]tiempos Perdidos IBERPLAST'!F9</f>
        <v/>
      </c>
      <c r="C225" s="11">
        <f>'[2]tiempos Perdidos IBERPLAST'!F10</f>
        <v/>
      </c>
      <c r="D225" s="11">
        <f>'[2]tiempos Perdidos IBERPLAST'!F11</f>
        <v/>
      </c>
      <c r="E225" s="11">
        <f>'[2]tiempos Perdidos IBERPLAST'!F12</f>
        <v/>
      </c>
      <c r="F225" s="11">
        <f>'[2]tiempos Perdidos IBERPLAST'!F13</f>
        <v/>
      </c>
      <c r="G225" s="11">
        <f>'[2]tiempos Perdidos IBERPLAST'!F14</f>
        <v/>
      </c>
      <c r="H225" s="11">
        <f>'[2]tiempos Perdidos IBERPLAST'!F15</f>
        <v/>
      </c>
    </row>
    <row r="226" ht="21" customHeight="1">
      <c r="A226" s="10" t="n">
        <v>40488</v>
      </c>
      <c r="B226" s="11">
        <f>'[2]tiempos Perdidos IBERPLAST'!G9</f>
        <v/>
      </c>
      <c r="C226" s="11">
        <f>'[2]tiempos Perdidos IBERPLAST'!G10</f>
        <v/>
      </c>
      <c r="D226" s="11">
        <f>'[2]tiempos Perdidos IBERPLAST'!G11</f>
        <v/>
      </c>
      <c r="E226" s="11">
        <f>'[2]tiempos Perdidos IBERPLAST'!G12</f>
        <v/>
      </c>
      <c r="F226" s="11">
        <f>'[2]tiempos Perdidos IBERPLAST'!G13</f>
        <v/>
      </c>
      <c r="G226" s="11">
        <f>'[2]tiempos Perdidos IBERPLAST'!G14</f>
        <v/>
      </c>
      <c r="H226" s="11">
        <f>'[2]tiempos Perdidos IBERPLAST'!G15</f>
        <v/>
      </c>
    </row>
    <row r="227" ht="21" customHeight="1">
      <c r="A227" s="10" t="n">
        <v>40489</v>
      </c>
      <c r="B227" s="11">
        <f>'[2]tiempos Perdidos IBERPLAST'!H9</f>
        <v/>
      </c>
      <c r="C227" s="11">
        <f>'[2]tiempos Perdidos IBERPLAST'!H10</f>
        <v/>
      </c>
      <c r="D227" s="11">
        <f>'[2]tiempos Perdidos IBERPLAST'!H11</f>
        <v/>
      </c>
      <c r="E227" s="11">
        <f>'[2]tiempos Perdidos IBERPLAST'!H12</f>
        <v/>
      </c>
      <c r="F227" s="11">
        <f>'[2]tiempos Perdidos IBERPLAST'!H13</f>
        <v/>
      </c>
      <c r="G227" s="11">
        <f>'[2]tiempos Perdidos IBERPLAST'!H14</f>
        <v/>
      </c>
      <c r="H227" s="11">
        <f>'[2]tiempos Perdidos IBERPLAST'!H15</f>
        <v/>
      </c>
    </row>
    <row r="228" ht="21" customHeight="1">
      <c r="A228" s="10" t="n">
        <v>40490</v>
      </c>
      <c r="B228" s="11">
        <f>'[2]tiempos Perdidos IBERPLAST'!I9</f>
        <v/>
      </c>
      <c r="C228" s="11">
        <f>'[2]tiempos Perdidos IBERPLAST'!I10</f>
        <v/>
      </c>
      <c r="D228" s="11">
        <f>'[2]tiempos Perdidos IBERPLAST'!I11</f>
        <v/>
      </c>
      <c r="E228" s="11">
        <f>'[2]tiempos Perdidos IBERPLAST'!I12</f>
        <v/>
      </c>
      <c r="F228" s="11">
        <f>'[2]tiempos Perdidos IBERPLAST'!I13</f>
        <v/>
      </c>
      <c r="G228" s="11">
        <f>'[2]tiempos Perdidos IBERPLAST'!I14</f>
        <v/>
      </c>
      <c r="H228" s="11">
        <f>'[2]tiempos Perdidos IBERPLAST'!I15</f>
        <v/>
      </c>
    </row>
    <row r="229" ht="21" customHeight="1">
      <c r="A229" s="10" t="n">
        <v>40491</v>
      </c>
      <c r="B229" s="11">
        <f>'[2]tiempos Perdidos IBERPLAST'!J9</f>
        <v/>
      </c>
      <c r="C229" s="11">
        <f>'[2]tiempos Perdidos IBERPLAST'!J10</f>
        <v/>
      </c>
      <c r="D229" s="11">
        <f>'[2]tiempos Perdidos IBERPLAST'!J11</f>
        <v/>
      </c>
      <c r="E229" s="11">
        <f>'[2]tiempos Perdidos IBERPLAST'!J12</f>
        <v/>
      </c>
      <c r="F229" s="11">
        <f>'[2]tiempos Perdidos IBERPLAST'!J13</f>
        <v/>
      </c>
      <c r="G229" s="11">
        <f>'[2]tiempos Perdidos IBERPLAST'!J14</f>
        <v/>
      </c>
      <c r="H229" s="11">
        <f>'[2]tiempos Perdidos IBERPLAST'!J15</f>
        <v/>
      </c>
    </row>
    <row r="230" ht="21" customHeight="1">
      <c r="A230" s="10" t="n">
        <v>40492</v>
      </c>
      <c r="B230" s="11">
        <f>'[2]tiempos Perdidos IBERPLAST'!K9</f>
        <v/>
      </c>
      <c r="C230" s="11">
        <f>'[2]tiempos Perdidos IBERPLAST'!K10</f>
        <v/>
      </c>
      <c r="D230" s="11">
        <f>'[2]tiempos Perdidos IBERPLAST'!K11</f>
        <v/>
      </c>
      <c r="E230" s="11">
        <f>'[2]tiempos Perdidos IBERPLAST'!K12</f>
        <v/>
      </c>
      <c r="F230" s="11">
        <f>'[2]tiempos Perdidos IBERPLAST'!K13</f>
        <v/>
      </c>
      <c r="G230" s="11">
        <f>'[2]tiempos Perdidos IBERPLAST'!K14</f>
        <v/>
      </c>
      <c r="H230" s="11">
        <f>'[2]tiempos Perdidos IBERPLAST'!K15</f>
        <v/>
      </c>
    </row>
    <row r="231" ht="21" customHeight="1">
      <c r="A231" s="10" t="n">
        <v>40493</v>
      </c>
      <c r="B231" s="11">
        <f>'[2]tiempos Perdidos IBERPLAST'!L9</f>
        <v/>
      </c>
      <c r="C231" s="11">
        <f>'[2]tiempos Perdidos IBERPLAST'!L10</f>
        <v/>
      </c>
      <c r="D231" s="11">
        <f>'[2]tiempos Perdidos IBERPLAST'!L11</f>
        <v/>
      </c>
      <c r="E231" s="11">
        <f>'[2]tiempos Perdidos IBERPLAST'!L12</f>
        <v/>
      </c>
      <c r="F231" s="11">
        <f>'[2]tiempos Perdidos IBERPLAST'!L13</f>
        <v/>
      </c>
      <c r="G231" s="11">
        <f>'[2]tiempos Perdidos IBERPLAST'!L14</f>
        <v/>
      </c>
      <c r="H231" s="11">
        <f>'[2]tiempos Perdidos IBERPLAST'!L15</f>
        <v/>
      </c>
    </row>
    <row r="232" ht="21" customHeight="1">
      <c r="A232" s="10" t="n">
        <v>40494</v>
      </c>
      <c r="B232" s="11">
        <f>'[2]tiempos Perdidos IBERPLAST'!M9</f>
        <v/>
      </c>
      <c r="C232" s="11">
        <f>'[2]tiempos Perdidos IBERPLAST'!M10</f>
        <v/>
      </c>
      <c r="D232" s="11">
        <f>'[2]tiempos Perdidos IBERPLAST'!M11</f>
        <v/>
      </c>
      <c r="E232" s="11">
        <f>'[2]tiempos Perdidos IBERPLAST'!M12</f>
        <v/>
      </c>
      <c r="F232" s="11">
        <f>'[2]tiempos Perdidos IBERPLAST'!M13</f>
        <v/>
      </c>
      <c r="G232" s="11">
        <f>'[2]tiempos Perdidos IBERPLAST'!M14</f>
        <v/>
      </c>
      <c r="H232" s="11">
        <f>'[2]tiempos Perdidos IBERPLAST'!M15</f>
        <v/>
      </c>
    </row>
    <row r="233" ht="21" customHeight="1">
      <c r="A233" s="10" t="n">
        <v>40495</v>
      </c>
      <c r="B233" s="11">
        <f>'[2]tiempos Perdidos IBERPLAST'!N9</f>
        <v/>
      </c>
      <c r="C233" s="11">
        <f>'[2]tiempos Perdidos IBERPLAST'!N10</f>
        <v/>
      </c>
      <c r="D233" s="11">
        <f>'[2]tiempos Perdidos IBERPLAST'!N11</f>
        <v/>
      </c>
      <c r="E233" s="11">
        <f>'[2]tiempos Perdidos IBERPLAST'!N12</f>
        <v/>
      </c>
      <c r="F233" s="11">
        <f>'[2]tiempos Perdidos IBERPLAST'!N13</f>
        <v/>
      </c>
      <c r="G233" s="11">
        <f>'[2]tiempos Perdidos IBERPLAST'!N14</f>
        <v/>
      </c>
      <c r="H233" s="11">
        <f>'[2]tiempos Perdidos IBERPLAST'!N15</f>
        <v/>
      </c>
    </row>
    <row r="234" ht="21" customHeight="1">
      <c r="A234" s="10" t="n">
        <v>40496</v>
      </c>
      <c r="B234" s="11">
        <f>'[2]tiempos Perdidos IBERPLAST'!O9</f>
        <v/>
      </c>
      <c r="C234" s="11">
        <f>'[2]tiempos Perdidos IBERPLAST'!O10</f>
        <v/>
      </c>
      <c r="D234" s="11">
        <f>'[2]tiempos Perdidos IBERPLAST'!O11</f>
        <v/>
      </c>
      <c r="E234" s="11">
        <f>'[2]tiempos Perdidos IBERPLAST'!O12</f>
        <v/>
      </c>
      <c r="F234" s="11">
        <f>'[2]tiempos Perdidos IBERPLAST'!O13</f>
        <v/>
      </c>
      <c r="G234" s="11">
        <f>'[2]tiempos Perdidos IBERPLAST'!O14</f>
        <v/>
      </c>
      <c r="H234" s="11">
        <f>'[2]tiempos Perdidos IBERPLAST'!O15</f>
        <v/>
      </c>
    </row>
    <row r="235" ht="21" customHeight="1">
      <c r="A235" s="10" t="n">
        <v>40497</v>
      </c>
      <c r="B235" s="11">
        <f>'[2]tiempos Perdidos IBERPLAST'!P9</f>
        <v/>
      </c>
      <c r="C235" s="11">
        <f>'[2]tiempos Perdidos IBERPLAST'!P10</f>
        <v/>
      </c>
      <c r="D235" s="11">
        <f>'[2]tiempos Perdidos IBERPLAST'!P11</f>
        <v/>
      </c>
      <c r="E235" s="11">
        <f>'[2]tiempos Perdidos IBERPLAST'!P12</f>
        <v/>
      </c>
      <c r="F235" s="11">
        <f>'[2]tiempos Perdidos IBERPLAST'!P13</f>
        <v/>
      </c>
      <c r="G235" s="11">
        <f>'[2]tiempos Perdidos IBERPLAST'!P14</f>
        <v/>
      </c>
      <c r="H235" s="11">
        <f>'[2]tiempos Perdidos IBERPLAST'!P15</f>
        <v/>
      </c>
    </row>
    <row r="236" ht="21" customHeight="1">
      <c r="A236" s="10" t="n">
        <v>40498</v>
      </c>
      <c r="B236" s="11">
        <f>'[2]tiempos Perdidos IBERPLAST'!Q9</f>
        <v/>
      </c>
      <c r="C236" s="11">
        <f>'[2]tiempos Perdidos IBERPLAST'!Q10</f>
        <v/>
      </c>
      <c r="D236" s="11">
        <f>'[2]tiempos Perdidos IBERPLAST'!Q11</f>
        <v/>
      </c>
      <c r="E236" s="11">
        <f>'[2]tiempos Perdidos IBERPLAST'!Q12</f>
        <v/>
      </c>
      <c r="F236" s="11">
        <f>'[2]tiempos Perdidos IBERPLAST'!Q13</f>
        <v/>
      </c>
      <c r="G236" s="11">
        <f>'[2]tiempos Perdidos IBERPLAST'!Q14</f>
        <v/>
      </c>
      <c r="H236" s="11">
        <f>'[2]tiempos Perdidos IBERPLAST'!Q15</f>
        <v/>
      </c>
    </row>
    <row r="237" ht="21" customHeight="1">
      <c r="A237" s="10" t="n">
        <v>40499</v>
      </c>
      <c r="B237" s="11">
        <f>'[2]tiempos Perdidos IBERPLAST'!R9</f>
        <v/>
      </c>
      <c r="C237" s="11">
        <f>'[2]tiempos Perdidos IBERPLAST'!R10</f>
        <v/>
      </c>
      <c r="D237" s="11">
        <f>'[2]tiempos Perdidos IBERPLAST'!R11</f>
        <v/>
      </c>
      <c r="E237" s="11">
        <f>'[2]tiempos Perdidos IBERPLAST'!R12</f>
        <v/>
      </c>
      <c r="F237" s="11">
        <f>'[2]tiempos Perdidos IBERPLAST'!R13</f>
        <v/>
      </c>
      <c r="G237" s="11">
        <f>'[2]tiempos Perdidos IBERPLAST'!S14</f>
        <v/>
      </c>
      <c r="H237" s="11">
        <f>'[2]tiempos Perdidos IBERPLAST'!R15</f>
        <v/>
      </c>
    </row>
    <row r="238" ht="21" customHeight="1">
      <c r="A238" s="10" t="n">
        <v>40500</v>
      </c>
      <c r="B238" s="11">
        <f>'[2]tiempos Perdidos IBERPLAST'!S9</f>
        <v/>
      </c>
      <c r="C238" s="11">
        <f>'[2]tiempos Perdidos IBERPLAST'!S10</f>
        <v/>
      </c>
      <c r="D238" s="11">
        <f>'[2]tiempos Perdidos IBERPLAST'!S11</f>
        <v/>
      </c>
      <c r="E238" s="11">
        <f>'[2]tiempos Perdidos IBERPLAST'!S12</f>
        <v/>
      </c>
      <c r="F238" s="11">
        <f>'[2]tiempos Perdidos IBERPLAST'!S13</f>
        <v/>
      </c>
      <c r="G238" s="11">
        <f>'[2]tiempos Perdidos IBERPLAST'!S14</f>
        <v/>
      </c>
      <c r="H238" s="11">
        <f>'[2]tiempos Perdidos IBERPLAST'!S15</f>
        <v/>
      </c>
    </row>
    <row r="239" ht="21" customHeight="1">
      <c r="A239" s="10" t="n">
        <v>40501</v>
      </c>
      <c r="B239" s="11">
        <f>'[2]tiempos Perdidos IBERPLAST'!T9</f>
        <v/>
      </c>
      <c r="C239" s="11">
        <f>'[2]tiempos Perdidos IBERPLAST'!T10</f>
        <v/>
      </c>
      <c r="D239" s="11">
        <f>'[2]tiempos Perdidos IBERPLAST'!T11</f>
        <v/>
      </c>
      <c r="E239" s="11">
        <f>'[2]tiempos Perdidos IBERPLAST'!T12</f>
        <v/>
      </c>
      <c r="F239" s="11">
        <f>'[2]tiempos Perdidos IBERPLAST'!T13</f>
        <v/>
      </c>
      <c r="G239" s="11">
        <f>'[2]tiempos Perdidos IBERPLAST'!T14</f>
        <v/>
      </c>
      <c r="H239" s="11">
        <f>'[2]tiempos Perdidos IBERPLAST'!T15</f>
        <v/>
      </c>
    </row>
    <row r="240" ht="21" customHeight="1">
      <c r="A240" s="10" t="n">
        <v>40502</v>
      </c>
      <c r="B240" s="11">
        <f>'[2]tiempos Perdidos IBERPLAST'!U9</f>
        <v/>
      </c>
      <c r="C240" s="11">
        <f>'[2]tiempos Perdidos IBERPLAST'!U10</f>
        <v/>
      </c>
      <c r="D240" s="11">
        <f>'[2]tiempos Perdidos IBERPLAST'!U11</f>
        <v/>
      </c>
      <c r="E240" s="11">
        <f>'[2]tiempos Perdidos IBERPLAST'!U12</f>
        <v/>
      </c>
      <c r="F240" s="11">
        <f>'[2]tiempos Perdidos IBERPLAST'!U13</f>
        <v/>
      </c>
      <c r="G240" s="11">
        <f>'[2]tiempos Perdidos IBERPLAST'!U14</f>
        <v/>
      </c>
      <c r="H240" s="11">
        <f>'[2]tiempos Perdidos IBERPLAST'!U15</f>
        <v/>
      </c>
    </row>
    <row r="241" ht="21" customHeight="1">
      <c r="A241" s="10" t="n">
        <v>40503</v>
      </c>
      <c r="B241" s="11">
        <f>'[2]tiempos Perdidos IBERPLAST'!V9</f>
        <v/>
      </c>
      <c r="C241" s="11">
        <f>'[2]tiempos Perdidos IBERPLAST'!V10</f>
        <v/>
      </c>
      <c r="D241" s="11">
        <f>'[2]tiempos Perdidos IBERPLAST'!V11</f>
        <v/>
      </c>
      <c r="E241" s="11">
        <f>'[2]tiempos Perdidos IBERPLAST'!V12</f>
        <v/>
      </c>
      <c r="F241" s="11">
        <f>'[2]tiempos Perdidos IBERPLAST'!V13</f>
        <v/>
      </c>
      <c r="G241" s="11">
        <f>'[2]tiempos Perdidos IBERPLAST'!V14</f>
        <v/>
      </c>
      <c r="H241" s="11">
        <f>'[2]tiempos Perdidos IBERPLAST'!V15</f>
        <v/>
      </c>
    </row>
    <row r="242" ht="21" customHeight="1">
      <c r="A242" s="10" t="n">
        <v>40504</v>
      </c>
      <c r="B242" s="11">
        <f>'[2]tiempos Perdidos IBERPLAST'!W9</f>
        <v/>
      </c>
      <c r="C242" s="11">
        <f>'[2]tiempos Perdidos IBERPLAST'!W10</f>
        <v/>
      </c>
      <c r="D242" s="11">
        <f>'[2]tiempos Perdidos IBERPLAST'!W11</f>
        <v/>
      </c>
      <c r="E242" s="11">
        <f>'[2]tiempos Perdidos IBERPLAST'!W12</f>
        <v/>
      </c>
      <c r="F242" s="11">
        <f>'[2]tiempos Perdidos IBERPLAST'!W13</f>
        <v/>
      </c>
      <c r="G242" s="11">
        <f>'[2]tiempos Perdidos IBERPLAST'!W14</f>
        <v/>
      </c>
      <c r="H242" s="11">
        <f>'[2]tiempos Perdidos IBERPLAST'!W15</f>
        <v/>
      </c>
    </row>
    <row r="243" ht="21" customHeight="1">
      <c r="A243" s="10" t="n">
        <v>40505</v>
      </c>
      <c r="B243" s="11">
        <f>'[2]tiempos Perdidos IBERPLAST'!X9</f>
        <v/>
      </c>
      <c r="C243" s="11">
        <f>'[2]tiempos Perdidos IBERPLAST'!X10</f>
        <v/>
      </c>
      <c r="D243" s="11">
        <f>'[2]tiempos Perdidos IBERPLAST'!X11</f>
        <v/>
      </c>
      <c r="E243" s="11">
        <f>'[2]tiempos Perdidos IBERPLAST'!X12</f>
        <v/>
      </c>
      <c r="F243" s="11">
        <f>'[2]tiempos Perdidos IBERPLAST'!X13</f>
        <v/>
      </c>
      <c r="G243" s="11">
        <f>'[2]tiempos Perdidos IBERPLAST'!X14</f>
        <v/>
      </c>
      <c r="H243" s="11">
        <f>'[2]tiempos Perdidos IBERPLAST'!X15</f>
        <v/>
      </c>
    </row>
    <row r="244" ht="21" customHeight="1">
      <c r="A244" s="10" t="n">
        <v>40506</v>
      </c>
      <c r="B244" s="11">
        <f>'[2]tiempos Perdidos IBERPLAST'!Y9</f>
        <v/>
      </c>
      <c r="C244" s="11">
        <f>'[2]tiempos Perdidos IBERPLAST'!Y10</f>
        <v/>
      </c>
      <c r="D244" s="11">
        <f>'[2]tiempos Perdidos IBERPLAST'!Y11</f>
        <v/>
      </c>
      <c r="E244" s="11">
        <f>'[2]tiempos Perdidos IBERPLAST'!Y12</f>
        <v/>
      </c>
      <c r="F244" s="11">
        <f>+'[2]tiempos Perdidos IBERPLAST'!Y13</f>
        <v/>
      </c>
      <c r="G244" s="11">
        <f>+'[2]tiempos Perdidos IBERPLAST'!Y14</f>
        <v/>
      </c>
      <c r="H244" s="11">
        <f>+'[2]tiempos Perdidos IBERPLAST'!Y15</f>
        <v/>
      </c>
    </row>
    <row r="245" ht="21" customHeight="1">
      <c r="A245" s="10" t="n">
        <v>40507</v>
      </c>
      <c r="B245" s="11">
        <f>+'[2]tiempos Perdidos IBERPLAST'!Z9</f>
        <v/>
      </c>
      <c r="C245" s="11">
        <f>+'[2]tiempos Perdidos IBERPLAST'!Z10</f>
        <v/>
      </c>
      <c r="D245" s="11">
        <f>+'[2]tiempos Perdidos IBERPLAST'!Z11</f>
        <v/>
      </c>
      <c r="E245" s="11">
        <f>+'[2]tiempos Perdidos IBERPLAST'!Z12</f>
        <v/>
      </c>
      <c r="F245" s="11">
        <f>+'[2]tiempos Perdidos IBERPLAST'!Z13</f>
        <v/>
      </c>
      <c r="G245" s="11">
        <f>+'[2]tiempos Perdidos IBERPLAST'!Z14</f>
        <v/>
      </c>
      <c r="H245" s="11">
        <f>+'[2]tiempos Perdidos IBERPLAST'!Z15</f>
        <v/>
      </c>
    </row>
    <row r="246" ht="21" customHeight="1">
      <c r="A246" s="10" t="n">
        <v>40508</v>
      </c>
      <c r="B246" s="11">
        <f>+'[2]tiempos Perdidos IBERPLAST'!AA9</f>
        <v/>
      </c>
      <c r="C246" s="11">
        <f>+'[2]tiempos Perdidos IBERPLAST'!AA10</f>
        <v/>
      </c>
      <c r="D246" s="11">
        <f>+'[2]tiempos Perdidos IBERPLAST'!AA11</f>
        <v/>
      </c>
      <c r="E246" s="11">
        <f>+'[2]tiempos Perdidos IBERPLAST'!AA12</f>
        <v/>
      </c>
      <c r="F246" s="11">
        <f>+'[2]tiempos Perdidos IBERPLAST'!AA13</f>
        <v/>
      </c>
      <c r="G246" s="11">
        <f>+'[2]tiempos Perdidos IBERPLAST'!AA14</f>
        <v/>
      </c>
      <c r="H246" s="11">
        <f>+'[2]tiempos Perdidos IBERPLAST'!AA15</f>
        <v/>
      </c>
    </row>
    <row r="247" ht="21" customHeight="1">
      <c r="A247" s="10" t="n">
        <v>40509</v>
      </c>
      <c r="B247" s="11">
        <f>+'[2]tiempos Perdidos IBERPLAST'!AB9</f>
        <v/>
      </c>
      <c r="C247" s="11">
        <f>+'[2]tiempos Perdidos IBERPLAST'!AB10</f>
        <v/>
      </c>
      <c r="D247" s="11">
        <f>+'[2]tiempos Perdidos IBERPLAST'!AB11</f>
        <v/>
      </c>
      <c r="E247" s="11">
        <f>+'[2]tiempos Perdidos IBERPLAST'!AB12</f>
        <v/>
      </c>
      <c r="F247" s="11">
        <f>+'[2]tiempos Perdidos IBERPLAST'!AB13</f>
        <v/>
      </c>
      <c r="G247" s="11">
        <f>+'[2]tiempos Perdidos IBERPLAST'!AB14</f>
        <v/>
      </c>
      <c r="H247" s="11">
        <f>+'[2]tiempos Perdidos IBERPLAST'!AB15</f>
        <v/>
      </c>
    </row>
    <row r="248" ht="21" customHeight="1">
      <c r="A248" s="10" t="n">
        <v>40510</v>
      </c>
      <c r="B248" s="11">
        <f>+'[2]tiempos Perdidos IBERPLAST'!AC9</f>
        <v/>
      </c>
      <c r="C248" s="11">
        <f>+'[2]tiempos Perdidos IBERPLAST'!AC10</f>
        <v/>
      </c>
      <c r="D248" s="11">
        <f>+'[2]tiempos Perdidos IBERPLAST'!AC11</f>
        <v/>
      </c>
      <c r="E248" s="11">
        <f>+'[2]tiempos Perdidos IBERPLAST'!AC12</f>
        <v/>
      </c>
      <c r="F248" s="11">
        <f>+'[2]tiempos Perdidos IBERPLAST'!AC13</f>
        <v/>
      </c>
      <c r="G248" s="11">
        <f>+'[2]tiempos Perdidos IBERPLAST'!AC14</f>
        <v/>
      </c>
      <c r="H248" s="11">
        <f>+'[2]tiempos Perdidos IBERPLAST'!AC15</f>
        <v/>
      </c>
    </row>
    <row r="249" ht="21" customHeight="1">
      <c r="A249" s="10" t="n">
        <v>40511</v>
      </c>
      <c r="B249" s="11">
        <f>+'[2]tiempos Perdidos IBERPLAST'!AD9</f>
        <v/>
      </c>
      <c r="C249" s="11">
        <f>+'[2]tiempos Perdidos IBERPLAST'!AD10</f>
        <v/>
      </c>
      <c r="D249" s="11">
        <f>+'[2]tiempos Perdidos IBERPLAST'!AD11</f>
        <v/>
      </c>
      <c r="E249" s="11">
        <f>+'[2]tiempos Perdidos IBERPLAST'!AD12</f>
        <v/>
      </c>
      <c r="F249" s="11">
        <f>+'[2]tiempos Perdidos IBERPLAST'!AD13</f>
        <v/>
      </c>
      <c r="G249" s="11">
        <f>+'[2]tiempos Perdidos IBERPLAST'!AD14</f>
        <v/>
      </c>
      <c r="H249" s="11">
        <f>+'[2]tiempos Perdidos IBERPLAST'!AD15</f>
        <v/>
      </c>
    </row>
    <row r="250" ht="21" customHeight="1">
      <c r="A250" s="10" t="n">
        <v>40512</v>
      </c>
      <c r="B250" s="11">
        <f>+'[2]tiempos Perdidos IBERPLAST'!AE9</f>
        <v/>
      </c>
      <c r="C250" s="11">
        <f>+'[2]tiempos Perdidos IBERPLAST'!AE10</f>
        <v/>
      </c>
      <c r="D250" s="11">
        <f>+'[2]tiempos Perdidos IBERPLAST'!AE11</f>
        <v/>
      </c>
      <c r="E250" s="11">
        <f>+'[2]tiempos Perdidos IBERPLAST'!AE12</f>
        <v/>
      </c>
      <c r="F250" s="11">
        <f>+'[2]tiempos Perdidos IBERPLAST'!AE13</f>
        <v/>
      </c>
      <c r="G250" s="11">
        <f>+'[2]tiempos Perdidos IBERPLAST'!AE14</f>
        <v/>
      </c>
      <c r="H250" s="11">
        <f>+'[2]tiempos Perdidos IBERPLAST'!AE15</f>
        <v/>
      </c>
    </row>
    <row r="251" ht="21.75" customHeight="1" thickBot="1">
      <c r="A251" s="10" t="n">
        <v>40513</v>
      </c>
      <c r="B251" s="12" t="n"/>
      <c r="C251" s="12" t="n"/>
      <c r="D251" s="12" t="n"/>
      <c r="E251" s="12" t="n"/>
      <c r="F251" s="12" t="n"/>
      <c r="G251" s="12" t="n"/>
      <c r="H251" s="12" t="n"/>
    </row>
    <row r="252" ht="24.75" customHeight="1" thickBot="1" thickTop="1">
      <c r="A252" s="13" t="inlineStr">
        <is>
          <t xml:space="preserve">TOTAL MIN PERDIDO </t>
        </is>
      </c>
      <c r="B252" s="14">
        <f>SUM(B221:B251)</f>
        <v/>
      </c>
      <c r="C252" s="14">
        <f>SUM(C221:C251)</f>
        <v/>
      </c>
      <c r="D252" s="14">
        <f>SUM(D221:D251)</f>
        <v/>
      </c>
      <c r="E252" s="14">
        <f>SUM(E221:E251)</f>
        <v/>
      </c>
      <c r="F252" s="14">
        <f>SUM(F221:F251)</f>
        <v/>
      </c>
      <c r="G252" s="14">
        <f>SUM(G221:G251)</f>
        <v/>
      </c>
      <c r="H252" s="14">
        <f>SUM(H221:H251)</f>
        <v/>
      </c>
    </row>
    <row r="253" ht="15.75" customHeight="1" thickTop="1"/>
    <row r="254" ht="15.75" customHeight="1" thickBot="1"/>
    <row r="255" ht="15.75" customHeight="1" thickTop="1">
      <c r="A255" s="127" t="inlineStr">
        <is>
          <t xml:space="preserve">DÍA / planta </t>
        </is>
      </c>
      <c r="B255" s="127" t="inlineStr">
        <is>
          <t>BARRANQUILLA</t>
        </is>
      </c>
      <c r="C255" s="127" t="inlineStr">
        <is>
          <t>BELLO</t>
        </is>
      </c>
      <c r="D255" s="127" t="inlineStr">
        <is>
          <t>BLOMAX 8-1</t>
        </is>
      </c>
      <c r="E255" s="127" t="inlineStr">
        <is>
          <t>BLOMAX 8-3</t>
        </is>
      </c>
      <c r="F255" s="127" t="inlineStr">
        <is>
          <t xml:space="preserve"> BLOMAX 14</t>
        </is>
      </c>
      <c r="G255" s="127" t="inlineStr">
        <is>
          <t>HOT FILL</t>
        </is>
      </c>
      <c r="H255" s="127" t="inlineStr">
        <is>
          <t>BLOMAX 20</t>
        </is>
      </c>
    </row>
    <row r="256" ht="15.75" customHeight="1" thickBot="1">
      <c r="A256" s="136" t="n"/>
      <c r="B256" s="136" t="n"/>
      <c r="C256" s="136" t="n"/>
      <c r="D256" s="136" t="n"/>
      <c r="E256" s="136" t="n"/>
      <c r="F256" s="136" t="n"/>
      <c r="G256" s="136" t="n"/>
      <c r="H256" s="136" t="n"/>
    </row>
    <row r="257" ht="21.75" customHeight="1" thickTop="1">
      <c r="A257" s="8" t="n">
        <v>40452</v>
      </c>
      <c r="B257" s="9" t="n">
        <v>41</v>
      </c>
      <c r="C257" s="9" t="n">
        <v>0</v>
      </c>
      <c r="D257" s="9" t="n">
        <v>0</v>
      </c>
      <c r="E257" s="9" t="n">
        <v>0</v>
      </c>
      <c r="F257" s="9" t="n">
        <v>0</v>
      </c>
      <c r="G257" s="9" t="n">
        <v>0</v>
      </c>
      <c r="H257" s="9" t="n">
        <v>1</v>
      </c>
    </row>
    <row r="258" ht="21" customHeight="1">
      <c r="A258" s="10" t="n">
        <v>40453</v>
      </c>
      <c r="B258" s="11" t="n">
        <v>810</v>
      </c>
      <c r="C258" s="11" t="n">
        <v>0</v>
      </c>
      <c r="D258" s="11" t="n">
        <v>18</v>
      </c>
      <c r="E258" s="11" t="n">
        <v>0</v>
      </c>
      <c r="F258" s="11" t="n">
        <v>0</v>
      </c>
      <c r="G258" s="11" t="n">
        <v>0</v>
      </c>
      <c r="H258" s="11" t="n">
        <v>0</v>
      </c>
    </row>
    <row r="259" ht="21" customHeight="1">
      <c r="A259" s="10" t="n">
        <v>40454</v>
      </c>
      <c r="B259" s="11" t="n">
        <v>180</v>
      </c>
      <c r="C259" s="11" t="n">
        <v>0</v>
      </c>
      <c r="D259" s="11" t="n">
        <v>0</v>
      </c>
      <c r="E259" s="11" t="n">
        <v>30</v>
      </c>
      <c r="F259" s="11" t="n">
        <v>12</v>
      </c>
      <c r="G259" s="11" t="n">
        <v>0</v>
      </c>
      <c r="H259" s="11" t="n">
        <v>0</v>
      </c>
    </row>
    <row r="260" ht="21" customHeight="1">
      <c r="A260" s="10" t="n">
        <v>40455</v>
      </c>
      <c r="B260" s="11" t="n">
        <v>52</v>
      </c>
      <c r="C260" s="11" t="n">
        <v>0</v>
      </c>
      <c r="D260" s="11" t="n">
        <v>0</v>
      </c>
      <c r="E260" s="11" t="n">
        <v>115</v>
      </c>
      <c r="F260" s="11" t="n">
        <v>220</v>
      </c>
      <c r="G260" s="11" t="n">
        <v>0</v>
      </c>
      <c r="H260" s="11" t="n">
        <v>0</v>
      </c>
    </row>
    <row r="261" ht="21" customHeight="1">
      <c r="A261" s="10" t="n">
        <v>40456</v>
      </c>
      <c r="B261" s="11" t="n">
        <v>55</v>
      </c>
      <c r="C261" s="11" t="n">
        <v>0</v>
      </c>
      <c r="D261" s="11" t="n">
        <v>0</v>
      </c>
      <c r="E261" s="11" t="n">
        <v>10</v>
      </c>
      <c r="F261" s="11" t="n">
        <v>160</v>
      </c>
      <c r="G261" s="11" t="n">
        <v>5</v>
      </c>
      <c r="H261" s="11" t="n">
        <v>3</v>
      </c>
    </row>
    <row r="262" ht="21" customHeight="1">
      <c r="A262" s="10" t="n">
        <v>40457</v>
      </c>
      <c r="B262" s="11" t="n">
        <v>21</v>
      </c>
      <c r="C262" s="11" t="n">
        <v>20</v>
      </c>
      <c r="D262" s="11" t="n">
        <v>0</v>
      </c>
      <c r="E262" s="11" t="n">
        <v>42</v>
      </c>
      <c r="F262" s="11" t="n">
        <v>0</v>
      </c>
      <c r="G262" s="11" t="n">
        <v>0</v>
      </c>
      <c r="H262" s="11" t="n">
        <v>2</v>
      </c>
    </row>
    <row r="263" ht="21" customHeight="1">
      <c r="A263" s="10" t="n">
        <v>40458</v>
      </c>
      <c r="B263" s="11" t="n">
        <v>21</v>
      </c>
      <c r="C263" s="11" t="n">
        <v>0</v>
      </c>
      <c r="D263" s="11" t="n">
        <v>0</v>
      </c>
      <c r="E263" s="11" t="n">
        <v>29</v>
      </c>
      <c r="F263" s="11" t="n">
        <v>0</v>
      </c>
      <c r="G263" s="11" t="n">
        <v>0</v>
      </c>
      <c r="H263" s="11" t="n">
        <v>10</v>
      </c>
    </row>
    <row r="264" ht="21" customHeight="1">
      <c r="A264" s="10" t="n">
        <v>40459</v>
      </c>
      <c r="B264" s="11" t="n">
        <v>18</v>
      </c>
      <c r="C264" s="11" t="n">
        <v>18</v>
      </c>
      <c r="D264" s="11" t="n">
        <v>0</v>
      </c>
      <c r="E264" s="11" t="n">
        <v>0</v>
      </c>
      <c r="F264" s="11" t="n">
        <v>0</v>
      </c>
      <c r="G264" s="11" t="n">
        <v>0</v>
      </c>
      <c r="H264" s="11" t="n">
        <v>20</v>
      </c>
    </row>
    <row r="265" ht="21" customHeight="1">
      <c r="A265" s="10" t="n">
        <v>40460</v>
      </c>
      <c r="B265" s="11" t="n">
        <v>7</v>
      </c>
      <c r="C265" s="11" t="n">
        <v>3</v>
      </c>
      <c r="D265" s="11" t="n">
        <v>18</v>
      </c>
      <c r="E265" s="11" t="n">
        <v>90</v>
      </c>
      <c r="F265" s="11" t="n">
        <v>0</v>
      </c>
      <c r="G265" s="11" t="n">
        <v>0</v>
      </c>
      <c r="H265" s="11" t="n">
        <v>0</v>
      </c>
    </row>
    <row r="266" ht="21" customHeight="1">
      <c r="A266" s="10" t="n">
        <v>40461</v>
      </c>
      <c r="B266" s="11" t="n">
        <v>0</v>
      </c>
      <c r="C266" s="11" t="n">
        <v>0</v>
      </c>
      <c r="D266" s="11" t="n">
        <v>0</v>
      </c>
      <c r="E266" s="11" t="n">
        <v>0</v>
      </c>
      <c r="F266" s="11" t="n">
        <v>0</v>
      </c>
      <c r="G266" s="11" t="n">
        <v>0</v>
      </c>
      <c r="H266" s="11" t="n">
        <v>0</v>
      </c>
    </row>
    <row r="267" ht="21" customHeight="1">
      <c r="A267" s="10" t="n">
        <v>40462</v>
      </c>
      <c r="B267" s="11" t="n">
        <v>195</v>
      </c>
      <c r="C267" s="11" t="n">
        <v>7</v>
      </c>
      <c r="D267" s="11" t="n">
        <v>0</v>
      </c>
      <c r="E267" s="11" t="n">
        <v>0</v>
      </c>
      <c r="F267" s="11" t="n">
        <v>0</v>
      </c>
      <c r="G267" s="11" t="n">
        <v>0</v>
      </c>
      <c r="H267" s="11" t="n">
        <v>2</v>
      </c>
    </row>
    <row r="268" ht="21" customHeight="1">
      <c r="A268" s="10" t="n">
        <v>40463</v>
      </c>
      <c r="B268" s="11" t="n">
        <v>35</v>
      </c>
      <c r="C268" s="11" t="n">
        <v>0</v>
      </c>
      <c r="D268" s="11" t="n">
        <v>0</v>
      </c>
      <c r="E268" s="11" t="n">
        <v>6</v>
      </c>
      <c r="F268" s="11" t="n">
        <v>0</v>
      </c>
      <c r="G268" s="11" t="n">
        <v>2</v>
      </c>
      <c r="H268" s="11" t="n">
        <v>0</v>
      </c>
    </row>
    <row r="269" ht="21" customHeight="1">
      <c r="A269" s="10" t="n">
        <v>40464</v>
      </c>
      <c r="B269" s="11" t="n">
        <v>3</v>
      </c>
      <c r="C269" s="11" t="n">
        <v>0</v>
      </c>
      <c r="D269" s="11" t="n">
        <v>0</v>
      </c>
      <c r="E269" s="11" t="n">
        <v>16</v>
      </c>
      <c r="F269" s="11" t="n">
        <v>0</v>
      </c>
      <c r="G269" s="11" t="n">
        <v>5</v>
      </c>
      <c r="H269" s="11" t="n">
        <v>15</v>
      </c>
    </row>
    <row r="270" ht="21" customHeight="1">
      <c r="A270" s="10" t="n">
        <v>40465</v>
      </c>
      <c r="B270" s="11" t="n">
        <v>0</v>
      </c>
      <c r="C270" s="11" t="n">
        <v>0</v>
      </c>
      <c r="D270" s="11" t="n">
        <v>86</v>
      </c>
      <c r="E270" s="11" t="n">
        <v>22</v>
      </c>
      <c r="F270" s="11" t="n">
        <v>0</v>
      </c>
      <c r="G270" s="11" t="n">
        <v>0</v>
      </c>
      <c r="H270" s="11" t="n">
        <v>0</v>
      </c>
    </row>
    <row r="271" ht="21" customHeight="1">
      <c r="A271" s="10" t="n">
        <v>40466</v>
      </c>
      <c r="B271" s="11" t="n">
        <v>18</v>
      </c>
      <c r="C271" s="11" t="n">
        <v>0</v>
      </c>
      <c r="D271" s="11" t="n">
        <v>75</v>
      </c>
      <c r="E271" s="11" t="n">
        <v>10</v>
      </c>
      <c r="F271" s="11" t="n">
        <v>0</v>
      </c>
      <c r="G271" s="11" t="n">
        <v>0</v>
      </c>
      <c r="H271" s="11" t="n">
        <v>9</v>
      </c>
    </row>
    <row r="272" ht="21" customHeight="1">
      <c r="A272" s="10" t="n">
        <v>40467</v>
      </c>
      <c r="B272" s="11" t="n">
        <v>0</v>
      </c>
      <c r="C272" s="11" t="n">
        <v>20</v>
      </c>
      <c r="D272" s="11" t="n">
        <v>9</v>
      </c>
      <c r="E272" s="11" t="n">
        <v>0</v>
      </c>
      <c r="F272" s="11" t="n">
        <v>0</v>
      </c>
      <c r="G272" s="11" t="n">
        <v>0</v>
      </c>
      <c r="H272" s="11" t="n">
        <v>28</v>
      </c>
    </row>
    <row r="273" ht="21" customHeight="1">
      <c r="A273" s="10" t="n">
        <v>40468</v>
      </c>
      <c r="B273" s="11" t="n">
        <v>0</v>
      </c>
      <c r="C273" s="11" t="n">
        <v>0</v>
      </c>
      <c r="D273" s="11" t="n">
        <v>0</v>
      </c>
      <c r="E273" s="11" t="n">
        <v>0</v>
      </c>
      <c r="F273" s="11" t="n">
        <v>0</v>
      </c>
      <c r="G273" s="11" t="n">
        <v>0</v>
      </c>
      <c r="H273" s="11" t="n">
        <v>0</v>
      </c>
    </row>
    <row r="274" ht="21" customHeight="1">
      <c r="A274" s="10" t="n">
        <v>40469</v>
      </c>
      <c r="B274" s="11" t="n">
        <v>0</v>
      </c>
      <c r="C274" s="11" t="n">
        <v>0</v>
      </c>
      <c r="D274" s="11" t="n">
        <v>0</v>
      </c>
      <c r="E274" s="11" t="n">
        <v>0</v>
      </c>
      <c r="F274" s="11">
        <f>9+18</f>
        <v/>
      </c>
      <c r="G274" s="11" t="n">
        <v>0</v>
      </c>
      <c r="H274" s="11" t="n">
        <v>0</v>
      </c>
    </row>
    <row r="275" ht="21" customHeight="1">
      <c r="A275" s="10" t="n">
        <v>40470</v>
      </c>
      <c r="B275" s="11" t="n">
        <v>16</v>
      </c>
      <c r="C275" s="11" t="n">
        <v>6</v>
      </c>
      <c r="D275" s="11" t="n">
        <v>0</v>
      </c>
      <c r="E275" s="11" t="n">
        <v>0</v>
      </c>
      <c r="F275" s="11" t="n">
        <v>0</v>
      </c>
      <c r="G275" s="11" t="n">
        <v>0</v>
      </c>
      <c r="H275" s="11" t="n">
        <v>0</v>
      </c>
    </row>
    <row r="276" ht="21" customHeight="1">
      <c r="A276" s="10" t="n">
        <v>40471</v>
      </c>
      <c r="B276" s="11" t="n">
        <v>4</v>
      </c>
      <c r="C276" s="11" t="n">
        <v>0</v>
      </c>
      <c r="D276" s="11" t="n">
        <v>0</v>
      </c>
      <c r="E276" s="11" t="n">
        <v>8</v>
      </c>
      <c r="F276" s="11" t="n">
        <v>0</v>
      </c>
      <c r="G276" s="11" t="n">
        <v>0</v>
      </c>
      <c r="H276" s="11" t="n">
        <v>11</v>
      </c>
    </row>
    <row r="277" ht="21" customHeight="1">
      <c r="A277" s="10" t="n">
        <v>40472</v>
      </c>
      <c r="B277" s="11" t="n">
        <v>0</v>
      </c>
      <c r="C277" s="11" t="n">
        <v>12</v>
      </c>
      <c r="D277" s="11" t="n">
        <v>0</v>
      </c>
      <c r="E277" s="11" t="n">
        <v>8</v>
      </c>
      <c r="F277" s="11" t="n">
        <v>0</v>
      </c>
      <c r="G277" s="11" t="n">
        <v>0</v>
      </c>
      <c r="H277" s="11" t="n">
        <v>0</v>
      </c>
    </row>
    <row r="278" ht="21" customHeight="1">
      <c r="A278" s="10" t="n">
        <v>40473</v>
      </c>
      <c r="B278" s="11" t="n">
        <v>7</v>
      </c>
      <c r="C278" s="11" t="n">
        <v>0</v>
      </c>
      <c r="D278" s="11" t="n">
        <v>0</v>
      </c>
      <c r="E278" s="11" t="n">
        <v>33</v>
      </c>
      <c r="F278" s="11" t="n">
        <v>0</v>
      </c>
      <c r="G278" s="11" t="n">
        <v>0</v>
      </c>
      <c r="H278" s="11" t="n">
        <v>9</v>
      </c>
    </row>
    <row r="279" ht="21" customHeight="1">
      <c r="A279" s="10" t="n">
        <v>40474</v>
      </c>
      <c r="B279" s="11" t="n">
        <v>0</v>
      </c>
      <c r="C279" s="11" t="n">
        <v>0</v>
      </c>
      <c r="D279" s="11" t="n">
        <v>0</v>
      </c>
      <c r="E279" s="11" t="n">
        <v>0</v>
      </c>
      <c r="F279" s="11" t="n">
        <v>0</v>
      </c>
      <c r="G279" s="11" t="n">
        <v>0</v>
      </c>
      <c r="H279" s="11" t="n">
        <v>10</v>
      </c>
    </row>
    <row r="280" ht="21" customHeight="1">
      <c r="A280" s="10" t="n">
        <v>40475</v>
      </c>
      <c r="B280" s="11" t="n">
        <v>0</v>
      </c>
      <c r="C280" s="11" t="n">
        <v>0</v>
      </c>
      <c r="D280" s="11" t="n">
        <v>0</v>
      </c>
      <c r="E280" s="11" t="n">
        <v>0</v>
      </c>
      <c r="F280" s="11" t="n">
        <v>0</v>
      </c>
      <c r="G280" s="11" t="n">
        <v>0</v>
      </c>
      <c r="H280" s="11" t="n">
        <v>0</v>
      </c>
    </row>
    <row r="281" ht="21" customHeight="1">
      <c r="A281" s="10" t="n">
        <v>40476</v>
      </c>
      <c r="B281" s="11" t="n">
        <v>24</v>
      </c>
      <c r="C281" s="11" t="n">
        <v>8</v>
      </c>
      <c r="D281" s="11" t="n">
        <v>35</v>
      </c>
      <c r="E281" s="11" t="n">
        <v>106</v>
      </c>
      <c r="F281" s="11" t="n">
        <v>0</v>
      </c>
      <c r="G281" s="11" t="n">
        <v>16</v>
      </c>
      <c r="H281" s="11" t="n">
        <v>0</v>
      </c>
    </row>
    <row r="282" ht="21" customHeight="1">
      <c r="A282" s="10" t="n">
        <v>40477</v>
      </c>
      <c r="B282" s="11" t="n">
        <v>19</v>
      </c>
      <c r="C282" s="11" t="n">
        <v>43</v>
      </c>
      <c r="D282" s="11" t="n">
        <v>5</v>
      </c>
      <c r="E282" s="11" t="n">
        <v>0</v>
      </c>
      <c r="F282" s="11" t="n">
        <v>10</v>
      </c>
      <c r="G282" s="11" t="n">
        <v>0</v>
      </c>
      <c r="H282" s="11" t="n">
        <v>0</v>
      </c>
    </row>
    <row r="283" ht="21" customHeight="1">
      <c r="A283" s="10" t="n">
        <v>40478</v>
      </c>
      <c r="B283" s="11" t="n">
        <v>30</v>
      </c>
      <c r="C283" s="11" t="n">
        <v>0</v>
      </c>
      <c r="D283" s="11" t="n">
        <v>0</v>
      </c>
      <c r="E283" s="11" t="n">
        <v>0</v>
      </c>
      <c r="F283" s="11" t="n">
        <v>10</v>
      </c>
      <c r="G283" s="11" t="n">
        <v>0</v>
      </c>
      <c r="H283" s="11" t="n">
        <v>5</v>
      </c>
    </row>
    <row r="284" ht="21" customHeight="1">
      <c r="A284" s="10" t="n">
        <v>40479</v>
      </c>
      <c r="B284" s="11" t="n">
        <v>23</v>
      </c>
      <c r="C284" s="11" t="n">
        <v>0</v>
      </c>
      <c r="D284" s="11" t="n">
        <v>0</v>
      </c>
      <c r="E284" s="11" t="n">
        <v>5</v>
      </c>
      <c r="F284" s="11" t="n">
        <v>0</v>
      </c>
      <c r="G284" s="11" t="n">
        <v>0</v>
      </c>
      <c r="H284" s="11" t="n">
        <v>2</v>
      </c>
    </row>
    <row r="285" ht="21" customHeight="1">
      <c r="A285" s="10" t="n">
        <v>40480</v>
      </c>
      <c r="B285" s="11" t="n">
        <v>6</v>
      </c>
      <c r="C285" s="11" t="n">
        <v>18</v>
      </c>
      <c r="D285" s="11" t="n">
        <v>0</v>
      </c>
      <c r="E285" s="11" t="n">
        <v>0</v>
      </c>
      <c r="F285" s="11" t="n">
        <v>0</v>
      </c>
      <c r="G285" s="11" t="n">
        <v>0</v>
      </c>
      <c r="H285" s="11" t="n">
        <v>0</v>
      </c>
    </row>
    <row r="286" ht="21" customHeight="1">
      <c r="A286" s="10" t="n">
        <v>40481</v>
      </c>
      <c r="B286" s="11" t="n">
        <v>0</v>
      </c>
      <c r="C286" s="11" t="n">
        <v>0</v>
      </c>
      <c r="D286" s="11" t="n">
        <v>0</v>
      </c>
      <c r="E286" s="11" t="n">
        <v>174</v>
      </c>
      <c r="F286" s="11" t="n">
        <v>30</v>
      </c>
      <c r="G286" s="11" t="n">
        <v>0</v>
      </c>
      <c r="H286" s="11" t="n">
        <v>0</v>
      </c>
    </row>
    <row r="287" ht="21.75" customHeight="1" thickBot="1">
      <c r="A287" s="15" t="n">
        <v>40482</v>
      </c>
      <c r="B287" s="12" t="n">
        <v>0</v>
      </c>
      <c r="C287" s="12" t="n">
        <v>0</v>
      </c>
      <c r="D287" s="12" t="n">
        <v>0</v>
      </c>
      <c r="E287" s="12" t="n">
        <v>0</v>
      </c>
      <c r="F287" s="12" t="n">
        <v>0</v>
      </c>
      <c r="G287" s="12" t="n">
        <v>0</v>
      </c>
      <c r="H287" s="12" t="n">
        <v>0</v>
      </c>
    </row>
    <row r="288" ht="24.75" customHeight="1" thickBot="1" thickTop="1">
      <c r="A288" s="13" t="inlineStr">
        <is>
          <t xml:space="preserve">TOTAL MIN PERDIDO </t>
        </is>
      </c>
      <c r="B288" s="14">
        <f>SUM(B257:B287)</f>
        <v/>
      </c>
      <c r="C288" s="14">
        <f>SUM(C257:C287)</f>
        <v/>
      </c>
      <c r="D288" s="14">
        <f>SUM(D257:D287)</f>
        <v/>
      </c>
      <c r="E288" s="14">
        <f>SUM(E257:E287)</f>
        <v/>
      </c>
      <c r="F288" s="14">
        <f>SUM(F257:F287)</f>
        <v/>
      </c>
      <c r="G288" s="14">
        <f>SUM(G257:G287)</f>
        <v/>
      </c>
      <c r="H288" s="14">
        <f>SUM(H257:H287)</f>
        <v/>
      </c>
    </row>
    <row r="289" ht="15.75" customHeight="1" thickTop="1"/>
  </sheetData>
  <mergeCells count="70">
    <mergeCell ref="E219:E220"/>
    <mergeCell ref="E5:E6"/>
    <mergeCell ref="F255:F256"/>
    <mergeCell ref="I76:I77"/>
    <mergeCell ref="H255:H256"/>
    <mergeCell ref="D183:D184"/>
    <mergeCell ref="A255:A256"/>
    <mergeCell ref="B219:B220"/>
    <mergeCell ref="F183:F184"/>
    <mergeCell ref="H112:H113"/>
    <mergeCell ref="D219:D220"/>
    <mergeCell ref="A41:A42"/>
    <mergeCell ref="H41:H42"/>
    <mergeCell ref="B148:B149"/>
    <mergeCell ref="H148:H149"/>
    <mergeCell ref="F5:F6"/>
    <mergeCell ref="I41:I42"/>
    <mergeCell ref="C112:C113"/>
    <mergeCell ref="D76:D77"/>
    <mergeCell ref="F76:F77"/>
    <mergeCell ref="C255:C256"/>
    <mergeCell ref="H219:H220"/>
    <mergeCell ref="A183:A184"/>
    <mergeCell ref="C183:C184"/>
    <mergeCell ref="C41:C42"/>
    <mergeCell ref="C148:C149"/>
    <mergeCell ref="G112:G113"/>
    <mergeCell ref="D41:D42"/>
    <mergeCell ref="I112:I113"/>
    <mergeCell ref="E148:E149"/>
    <mergeCell ref="F41:F42"/>
    <mergeCell ref="G148:G149"/>
    <mergeCell ref="A76:A77"/>
    <mergeCell ref="I5:I6"/>
    <mergeCell ref="F219:F220"/>
    <mergeCell ref="A219:A220"/>
    <mergeCell ref="A5:A6"/>
    <mergeCell ref="G5:G6"/>
    <mergeCell ref="B255:B256"/>
    <mergeCell ref="C219:C220"/>
    <mergeCell ref="D255:D256"/>
    <mergeCell ref="G76:G77"/>
    <mergeCell ref="C76:C77"/>
    <mergeCell ref="E76:E77"/>
    <mergeCell ref="I148:I149"/>
    <mergeCell ref="B112:B113"/>
    <mergeCell ref="B183:B184"/>
    <mergeCell ref="H183:H184"/>
    <mergeCell ref="E255:E256"/>
    <mergeCell ref="D112:D113"/>
    <mergeCell ref="G255:G256"/>
    <mergeCell ref="D148:D149"/>
    <mergeCell ref="E41:E42"/>
    <mergeCell ref="F148:F149"/>
    <mergeCell ref="G41:G42"/>
    <mergeCell ref="A112:A113"/>
    <mergeCell ref="B5:B6"/>
    <mergeCell ref="B76:B77"/>
    <mergeCell ref="D5:D6"/>
    <mergeCell ref="H76:H77"/>
    <mergeCell ref="H5:H6"/>
    <mergeCell ref="E183:E184"/>
    <mergeCell ref="G183:G184"/>
    <mergeCell ref="I183:I184"/>
    <mergeCell ref="A148:A149"/>
    <mergeCell ref="E112:E113"/>
    <mergeCell ref="B41:B42"/>
    <mergeCell ref="G219:G220"/>
    <mergeCell ref="F112:F113"/>
    <mergeCell ref="C5:C6"/>
  </mergeCells>
  <pageMargins left="0.7" right="0.7" top="0.75" bottom="0.75" header="0.3" footer="0.3"/>
  <pageSetup orientation="portrait" verticalDpi="0"/>
</worksheet>
</file>

<file path=xl/worksheets/sheet2.xml><?xml version="1.0" encoding="utf-8"?>
<worksheet xmlns="http://schemas.openxmlformats.org/spreadsheetml/2006/main">
  <sheetPr codeName="Hoja3">
    <outlinePr summaryBelow="1" summaryRight="1"/>
    <pageSetUpPr/>
  </sheetPr>
  <dimension ref="A7:Q49"/>
  <sheetViews>
    <sheetView tabSelected="1" zoomScale="70" zoomScaleNormal="70" workbookViewId="0">
      <pane xSplit="1" topLeftCell="B1" activePane="topRight" state="frozen"/>
      <selection pane="topRight" activeCell="A1" sqref="A1"/>
    </sheetView>
  </sheetViews>
  <sheetFormatPr baseColWidth="10" defaultColWidth="11.42578125" defaultRowHeight="15"/>
  <cols>
    <col width="33.28515625" customWidth="1" style="1" min="1" max="1"/>
    <col width="14.5703125" customWidth="1" style="1" min="2" max="6"/>
    <col width="14.7109375" customWidth="1" style="1" min="7" max="12"/>
    <col width="13.28515625" customWidth="1" style="1" min="13" max="13"/>
    <col width="14.28515625" customWidth="1" style="1" min="14" max="14"/>
    <col width="11.42578125" customWidth="1" style="1" min="15" max="16384"/>
  </cols>
  <sheetData>
    <row r="1" ht="9.75" customHeight="1"/>
    <row r="2" ht="12" customHeight="1"/>
    <row r="7" ht="12.75" customHeight="1" thickBot="1">
      <c r="A7" s="25" t="n"/>
      <c r="B7" s="25" t="n"/>
      <c r="C7" s="25" t="n"/>
      <c r="D7" s="25" t="n"/>
      <c r="E7" s="25" t="n"/>
      <c r="F7" s="25" t="n"/>
      <c r="G7" s="25" t="n"/>
    </row>
    <row r="8" ht="19.5" customHeight="1" thickTop="1">
      <c r="A8" s="137" t="inlineStr">
        <is>
          <t xml:space="preserve">DÍA / planta </t>
        </is>
      </c>
      <c r="B8" s="139" t="inlineStr">
        <is>
          <t>CCM 01</t>
        </is>
      </c>
      <c r="C8" s="139" t="inlineStr">
        <is>
          <t>CCM 02</t>
        </is>
      </c>
      <c r="D8" s="139" t="inlineStr">
        <is>
          <t>CCM 03</t>
        </is>
      </c>
      <c r="E8" s="139" t="inlineStr">
        <is>
          <t>CCM 04</t>
        </is>
      </c>
      <c r="F8" s="139" t="inlineStr">
        <is>
          <t>CCM 05</t>
        </is>
      </c>
      <c r="G8" s="139" t="inlineStr">
        <is>
          <t>CCM 06</t>
        </is>
      </c>
      <c r="H8" s="139" t="inlineStr">
        <is>
          <t>CCM 07</t>
        </is>
      </c>
      <c r="I8" s="139" t="inlineStr">
        <is>
          <t>CCM 08</t>
        </is>
      </c>
      <c r="J8" s="139" t="inlineStr">
        <is>
          <t>PMV 02</t>
        </is>
      </c>
      <c r="K8" s="139"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8" t="n">
        <v>46171</v>
      </c>
      <c r="B10" s="50" t="n">
        <v>0</v>
      </c>
      <c r="C10" s="50" t="n">
        <v>0</v>
      </c>
      <c r="D10" s="50" t="n">
        <v>0</v>
      </c>
      <c r="E10" s="50" t="n">
        <v>0</v>
      </c>
      <c r="F10" s="50" t="n">
        <v>0</v>
      </c>
      <c r="G10" s="50" t="n">
        <v>0</v>
      </c>
      <c r="H10" s="50" t="n">
        <v>120</v>
      </c>
      <c r="I10" s="50" t="n">
        <v>0</v>
      </c>
      <c r="J10" s="50" t="n">
        <v>0</v>
      </c>
      <c r="K10" s="50" t="n">
        <v>0</v>
      </c>
      <c r="Q10" s="46" t="n"/>
    </row>
    <row r="11" ht="21" customHeight="1">
      <c r="A11" s="8" t="n">
        <v>46172</v>
      </c>
      <c r="B11" s="50" t="n">
        <v>0</v>
      </c>
      <c r="C11" s="50" t="n">
        <v>0</v>
      </c>
      <c r="D11" s="50" t="n">
        <v>0</v>
      </c>
      <c r="E11" s="50" t="n">
        <v>0</v>
      </c>
      <c r="F11" s="50" t="n">
        <v>0</v>
      </c>
      <c r="G11" s="50" t="n">
        <v>0</v>
      </c>
      <c r="H11" s="50" t="n">
        <v>0</v>
      </c>
      <c r="I11" s="50" t="n">
        <v>0</v>
      </c>
      <c r="J11" s="50" t="n">
        <v>0</v>
      </c>
      <c r="K11" s="50" t="n">
        <v>0</v>
      </c>
      <c r="Q11" s="46" t="n"/>
    </row>
    <row r="12" ht="21" customHeight="1">
      <c r="A12" s="8" t="n">
        <v>46173</v>
      </c>
      <c r="B12" s="50" t="n">
        <v>0</v>
      </c>
      <c r="C12" s="50" t="n">
        <v>0</v>
      </c>
      <c r="D12" s="50" t="n">
        <v>0</v>
      </c>
      <c r="E12" s="50" t="n">
        <v>0</v>
      </c>
      <c r="F12" s="50" t="n">
        <v>0</v>
      </c>
      <c r="G12" s="50" t="n">
        <v>0</v>
      </c>
      <c r="H12" s="50" t="n">
        <v>0</v>
      </c>
      <c r="I12" s="50" t="n">
        <v>0</v>
      </c>
      <c r="J12" s="50" t="n">
        <v>0</v>
      </c>
      <c r="K12" s="50" t="n">
        <v>0</v>
      </c>
      <c r="Q12" s="46" t="n"/>
    </row>
    <row r="13" ht="21" customHeight="1">
      <c r="A13" s="8" t="n">
        <v>46174</v>
      </c>
      <c r="B13" s="50" t="n">
        <v>0</v>
      </c>
      <c r="C13" s="50" t="n">
        <v>160</v>
      </c>
      <c r="D13" s="50" t="n">
        <v>200</v>
      </c>
      <c r="E13" s="50" t="n">
        <v>0</v>
      </c>
      <c r="F13" s="50" t="n">
        <v>120</v>
      </c>
      <c r="G13" s="50" t="n">
        <v>0</v>
      </c>
      <c r="H13" s="50" t="n">
        <v>480</v>
      </c>
      <c r="I13" s="50" t="n">
        <v>0</v>
      </c>
      <c r="J13" s="50" t="n">
        <v>0</v>
      </c>
      <c r="K13" s="50" t="n">
        <v>0</v>
      </c>
      <c r="Q13" s="46" t="n"/>
    </row>
    <row r="14" ht="21" customHeight="1">
      <c r="A14" s="8" t="n">
        <v>46175</v>
      </c>
      <c r="B14" s="50" t="n">
        <v>0</v>
      </c>
      <c r="C14" s="50" t="n">
        <v>30</v>
      </c>
      <c r="D14" s="50" t="n">
        <v>740</v>
      </c>
      <c r="E14" s="50" t="n">
        <v>0</v>
      </c>
      <c r="F14" s="50" t="n">
        <v>780</v>
      </c>
      <c r="G14" s="50" t="n">
        <v>0</v>
      </c>
      <c r="H14" s="50" t="n">
        <v>0</v>
      </c>
      <c r="I14" s="50" t="n">
        <v>0</v>
      </c>
      <c r="J14" s="50" t="n">
        <v>0</v>
      </c>
      <c r="K14" s="50" t="n">
        <v>0</v>
      </c>
      <c r="Q14" s="46" t="n"/>
    </row>
    <row r="15" ht="21" customHeight="1">
      <c r="A15" s="8" t="n">
        <v>46176</v>
      </c>
      <c r="B15" s="50" t="n">
        <v>0</v>
      </c>
      <c r="C15" s="50" t="n">
        <v>300</v>
      </c>
      <c r="D15" s="50" t="n">
        <v>670</v>
      </c>
      <c r="E15" s="50" t="n">
        <v>0</v>
      </c>
      <c r="F15" s="50" t="n">
        <v>0</v>
      </c>
      <c r="G15" s="50" t="n">
        <v>680</v>
      </c>
      <c r="H15" s="50" t="n">
        <v>0</v>
      </c>
      <c r="I15" s="50" t="n">
        <v>0</v>
      </c>
      <c r="J15" s="50" t="n">
        <v>0</v>
      </c>
      <c r="K15" s="50" t="n">
        <v>0</v>
      </c>
      <c r="Q15" s="46" t="n"/>
    </row>
    <row r="16" ht="21" customHeight="1">
      <c r="A16" s="8" t="n">
        <v>46177</v>
      </c>
      <c r="B16" s="50" t="n">
        <v>25</v>
      </c>
      <c r="C16" s="50" t="n">
        <v>0</v>
      </c>
      <c r="D16" s="50" t="n">
        <v>380</v>
      </c>
      <c r="E16" s="50" t="n">
        <v>0</v>
      </c>
      <c r="F16" s="50" t="n">
        <v>0</v>
      </c>
      <c r="G16" s="50" t="n">
        <v>0</v>
      </c>
      <c r="H16" s="50" t="n">
        <v>0</v>
      </c>
      <c r="I16" s="50" t="n">
        <v>0</v>
      </c>
      <c r="J16" s="50" t="n">
        <v>0</v>
      </c>
      <c r="K16" s="50" t="n">
        <v>0</v>
      </c>
      <c r="Q16" s="46" t="n"/>
    </row>
    <row r="17" ht="21" customHeight="1">
      <c r="A17" s="8" t="n">
        <v>46178</v>
      </c>
      <c r="B17" s="50" t="n">
        <v>120</v>
      </c>
      <c r="C17" s="50" t="n">
        <v>0</v>
      </c>
      <c r="D17" s="50" t="n">
        <v>0</v>
      </c>
      <c r="E17" s="50" t="n">
        <v>0</v>
      </c>
      <c r="F17" s="50" t="n">
        <v>0</v>
      </c>
      <c r="G17" s="50" t="n">
        <v>180</v>
      </c>
      <c r="H17" s="50" t="n">
        <v>0</v>
      </c>
      <c r="I17" s="50" t="n">
        <v>0</v>
      </c>
      <c r="J17" s="50" t="n">
        <v>0</v>
      </c>
      <c r="K17" s="50" t="n">
        <v>0</v>
      </c>
      <c r="Q17" s="46" t="n"/>
    </row>
    <row r="18" ht="21" customHeight="1">
      <c r="A18" s="8" t="n">
        <v>46179</v>
      </c>
      <c r="B18" s="50" t="n">
        <v>300</v>
      </c>
      <c r="C18" s="50" t="n">
        <v>150</v>
      </c>
      <c r="D18" s="50" t="n">
        <v>60</v>
      </c>
      <c r="E18" s="50" t="n">
        <v>0</v>
      </c>
      <c r="F18" s="50" t="n">
        <v>0</v>
      </c>
      <c r="G18" s="50" t="n">
        <v>360</v>
      </c>
      <c r="H18" s="50" t="n">
        <v>0</v>
      </c>
      <c r="I18" s="50" t="n">
        <v>0</v>
      </c>
      <c r="J18" s="50" t="n">
        <v>0</v>
      </c>
      <c r="K18" s="50" t="n">
        <v>0</v>
      </c>
      <c r="Q18" s="46" t="n"/>
    </row>
    <row r="19" ht="21" customHeight="1">
      <c r="A19" s="8" t="n">
        <v>46180</v>
      </c>
      <c r="B19" s="50" t="n">
        <v>0</v>
      </c>
      <c r="C19" s="50" t="n">
        <v>265</v>
      </c>
      <c r="D19" s="50" t="n">
        <v>0</v>
      </c>
      <c r="E19" s="50" t="n">
        <v>0</v>
      </c>
      <c r="F19" s="50" t="n">
        <v>0</v>
      </c>
      <c r="G19" s="50" t="n">
        <v>180</v>
      </c>
      <c r="H19" s="50" t="n">
        <v>0</v>
      </c>
      <c r="I19" s="50" t="n">
        <v>0</v>
      </c>
      <c r="J19" s="50" t="n">
        <v>0</v>
      </c>
      <c r="K19" s="50" t="n">
        <v>0</v>
      </c>
      <c r="Q19" s="46" t="n"/>
    </row>
    <row r="20" ht="21" customHeight="1">
      <c r="A20" s="8" t="n">
        <v>46181</v>
      </c>
      <c r="B20" s="50" t="n">
        <v>225</v>
      </c>
      <c r="C20" s="50" t="n">
        <v>0</v>
      </c>
      <c r="D20" s="50" t="n">
        <v>0</v>
      </c>
      <c r="E20" s="50" t="n">
        <v>0</v>
      </c>
      <c r="F20" s="50" t="n">
        <v>0</v>
      </c>
      <c r="G20" s="50" t="n">
        <v>0</v>
      </c>
      <c r="H20" s="50" t="n">
        <v>0</v>
      </c>
      <c r="I20" s="50" t="n">
        <v>150</v>
      </c>
      <c r="J20" s="50" t="n">
        <v>0</v>
      </c>
      <c r="K20" s="50" t="n">
        <v>0</v>
      </c>
      <c r="Q20" s="46" t="n"/>
    </row>
    <row r="21" ht="21" customHeight="1">
      <c r="A21" s="8" t="n">
        <v>46182</v>
      </c>
      <c r="B21" s="50" t="n">
        <v>0</v>
      </c>
      <c r="C21" s="50" t="n">
        <v>70</v>
      </c>
      <c r="D21" s="50" t="n">
        <v>0</v>
      </c>
      <c r="E21" s="50" t="n">
        <v>0</v>
      </c>
      <c r="F21" s="50" t="n">
        <v>0</v>
      </c>
      <c r="G21" s="50" t="n">
        <v>0</v>
      </c>
      <c r="H21" s="50" t="n">
        <v>0</v>
      </c>
      <c r="I21" s="50" t="n">
        <v>0</v>
      </c>
      <c r="J21" s="50" t="n">
        <v>0</v>
      </c>
      <c r="K21" s="50" t="n">
        <v>0</v>
      </c>
      <c r="Q21" s="46" t="n"/>
    </row>
    <row r="22" ht="21" customHeight="1">
      <c r="A22" s="8" t="n">
        <v>46183</v>
      </c>
      <c r="B22" s="50" t="n">
        <v>0</v>
      </c>
      <c r="C22" s="50" t="n">
        <v>0</v>
      </c>
      <c r="D22" s="50" t="n">
        <v>0</v>
      </c>
      <c r="E22" s="50" t="n">
        <v>30</v>
      </c>
      <c r="F22" s="50" t="n">
        <v>0</v>
      </c>
      <c r="G22" s="50" t="n">
        <v>0</v>
      </c>
      <c r="H22" s="50" t="n">
        <v>0</v>
      </c>
      <c r="I22" s="50" t="n">
        <v>0</v>
      </c>
      <c r="J22" s="50" t="n">
        <v>0</v>
      </c>
      <c r="K22" s="50" t="n">
        <v>0</v>
      </c>
      <c r="Q22" s="46" t="n"/>
    </row>
    <row r="23" ht="21" customHeight="1">
      <c r="A23" s="8" t="n">
        <v>46184</v>
      </c>
      <c r="B23" s="50" t="n">
        <v>0</v>
      </c>
      <c r="C23" s="50" t="n">
        <v>0</v>
      </c>
      <c r="D23" s="50" t="n">
        <v>0</v>
      </c>
      <c r="E23" s="50" t="n">
        <v>90</v>
      </c>
      <c r="F23" s="50" t="n">
        <v>0</v>
      </c>
      <c r="G23" s="50" t="n">
        <v>0</v>
      </c>
      <c r="H23" s="50" t="n">
        <v>0</v>
      </c>
      <c r="I23" s="50" t="n">
        <v>0</v>
      </c>
      <c r="J23" s="50" t="n">
        <v>0</v>
      </c>
      <c r="K23" s="50" t="n">
        <v>0</v>
      </c>
      <c r="Q23" s="46" t="n"/>
    </row>
    <row r="24" ht="21" customHeight="1">
      <c r="A24" s="8" t="n">
        <v>46185</v>
      </c>
      <c r="B24" s="50" t="n">
        <v>0</v>
      </c>
      <c r="C24" s="50" t="n">
        <v>0</v>
      </c>
      <c r="D24" s="50" t="n">
        <v>0</v>
      </c>
      <c r="E24" s="50" t="n">
        <v>0</v>
      </c>
      <c r="F24" s="50" t="n">
        <v>0</v>
      </c>
      <c r="G24" s="50" t="n">
        <v>0</v>
      </c>
      <c r="H24" s="50" t="n">
        <v>0</v>
      </c>
      <c r="I24" s="50" t="n">
        <v>0</v>
      </c>
      <c r="J24" s="50" t="n">
        <v>0</v>
      </c>
      <c r="K24" s="50" t="n">
        <v>0</v>
      </c>
      <c r="Q24" s="46" t="n"/>
    </row>
    <row r="25" ht="21" customHeight="1">
      <c r="A25" s="8" t="n">
        <v>46186</v>
      </c>
      <c r="B25" s="50" t="n">
        <v>0</v>
      </c>
      <c r="C25" s="50" t="n">
        <v>0</v>
      </c>
      <c r="D25" s="50" t="n">
        <v>0</v>
      </c>
      <c r="E25" s="50" t="n">
        <v>0</v>
      </c>
      <c r="F25" s="50" t="n">
        <v>495</v>
      </c>
      <c r="G25" s="50" t="n">
        <v>0</v>
      </c>
      <c r="H25" s="50" t="n">
        <v>0</v>
      </c>
      <c r="I25" s="50" t="n">
        <v>200</v>
      </c>
      <c r="J25" s="50" t="n">
        <v>0</v>
      </c>
      <c r="K25" s="50" t="n">
        <v>0</v>
      </c>
      <c r="Q25" s="46" t="n"/>
    </row>
    <row r="26" ht="21" customHeight="1">
      <c r="A26" s="8" t="n">
        <v>46187</v>
      </c>
      <c r="B26" s="50" t="n">
        <v>0</v>
      </c>
      <c r="C26" s="50" t="n">
        <v>0</v>
      </c>
      <c r="D26" s="50" t="n">
        <v>0</v>
      </c>
      <c r="E26" s="50" t="n">
        <v>0</v>
      </c>
      <c r="F26" s="50" t="n">
        <v>0</v>
      </c>
      <c r="G26" s="50" t="n">
        <v>0</v>
      </c>
      <c r="H26" s="50" t="n">
        <v>0</v>
      </c>
      <c r="I26" s="50" t="n">
        <v>0</v>
      </c>
      <c r="J26" s="50" t="n">
        <v>0</v>
      </c>
      <c r="K26" s="50" t="n">
        <v>0</v>
      </c>
      <c r="Q26" s="46" t="n"/>
    </row>
    <row r="27" ht="21" customHeight="1">
      <c r="A27" s="8" t="n">
        <v>46188</v>
      </c>
      <c r="B27" s="50" t="n">
        <v>310</v>
      </c>
      <c r="C27" s="50" t="n">
        <v>0</v>
      </c>
      <c r="D27" s="50" t="n">
        <v>0</v>
      </c>
      <c r="E27" s="50" t="n">
        <v>0</v>
      </c>
      <c r="F27" s="50" t="n">
        <v>0</v>
      </c>
      <c r="G27" s="50" t="n">
        <v>0</v>
      </c>
      <c r="H27" s="50" t="n">
        <v>0</v>
      </c>
      <c r="I27" s="50" t="n">
        <v>0</v>
      </c>
      <c r="J27" s="50" t="n">
        <v>0</v>
      </c>
      <c r="K27" s="50" t="n">
        <v>0</v>
      </c>
      <c r="Q27" s="46" t="n"/>
    </row>
    <row r="28" ht="21" customHeight="1">
      <c r="A28" s="8" t="n">
        <v>46189</v>
      </c>
      <c r="B28" s="50" t="n">
        <v>0</v>
      </c>
      <c r="C28" s="50" t="n">
        <v>0</v>
      </c>
      <c r="D28" s="50" t="n">
        <v>0</v>
      </c>
      <c r="E28" s="50" t="n">
        <v>0</v>
      </c>
      <c r="F28" s="50" t="n">
        <v>0</v>
      </c>
      <c r="G28" s="50" t="n">
        <v>0</v>
      </c>
      <c r="H28" s="50" t="n">
        <v>0</v>
      </c>
      <c r="I28" s="50" t="n">
        <v>0</v>
      </c>
      <c r="J28" s="50" t="n">
        <v>0</v>
      </c>
      <c r="K28" s="50" t="n">
        <v>0</v>
      </c>
      <c r="Q28" s="46" t="n"/>
    </row>
    <row r="29" ht="21" customHeight="1">
      <c r="A29" s="8" t="n">
        <v>46190</v>
      </c>
      <c r="B29" s="50" t="n">
        <v>0</v>
      </c>
      <c r="C29" s="50" t="n">
        <v>0</v>
      </c>
      <c r="D29" s="50" t="n">
        <v>0</v>
      </c>
      <c r="E29" s="50" t="n">
        <v>200</v>
      </c>
      <c r="F29" s="50" t="n">
        <v>0</v>
      </c>
      <c r="G29" s="50" t="n">
        <v>0</v>
      </c>
      <c r="H29" s="50" t="n">
        <v>0</v>
      </c>
      <c r="I29" s="50" t="n">
        <v>0</v>
      </c>
      <c r="J29" s="50" t="n">
        <v>0</v>
      </c>
      <c r="K29" s="50" t="n">
        <v>0</v>
      </c>
      <c r="Q29" s="46" t="n"/>
    </row>
    <row r="30" ht="21" customHeight="1">
      <c r="A30" s="8" t="n">
        <v>46191</v>
      </c>
      <c r="B30" s="50" t="n">
        <v>0</v>
      </c>
      <c r="C30" s="50" t="n">
        <v>1105</v>
      </c>
      <c r="D30" s="50" t="n">
        <v>0</v>
      </c>
      <c r="E30" s="50" t="n">
        <v>0</v>
      </c>
      <c r="F30" s="50" t="n">
        <v>0</v>
      </c>
      <c r="G30" s="50" t="n">
        <v>0</v>
      </c>
      <c r="H30" s="50" t="n">
        <v>0</v>
      </c>
      <c r="I30" s="50" t="n">
        <v>0</v>
      </c>
      <c r="J30" s="50" t="n">
        <v>0</v>
      </c>
      <c r="K30" s="50" t="n">
        <v>0</v>
      </c>
      <c r="Q30" s="46" t="n"/>
    </row>
    <row r="31" ht="20.25" customHeight="1">
      <c r="A31" s="8" t="n">
        <v>46192</v>
      </c>
      <c r="B31" s="50" t="n">
        <v>0</v>
      </c>
      <c r="C31" s="50" t="n">
        <v>645</v>
      </c>
      <c r="D31" s="50" t="n">
        <v>0</v>
      </c>
      <c r="E31" s="50" t="n">
        <v>0</v>
      </c>
      <c r="F31" s="50" t="n">
        <v>0</v>
      </c>
      <c r="G31" s="50" t="n">
        <v>0</v>
      </c>
      <c r="H31" s="50" t="n">
        <v>0</v>
      </c>
      <c r="I31" s="50" t="n">
        <v>0</v>
      </c>
      <c r="J31" s="50" t="n">
        <v>0</v>
      </c>
      <c r="K31" s="50" t="n">
        <v>0</v>
      </c>
      <c r="Q31" s="46" t="n"/>
    </row>
    <row r="32" ht="20.25" customHeight="1">
      <c r="A32" s="8" t="n">
        <v>46193</v>
      </c>
      <c r="B32" s="50" t="n">
        <v>240</v>
      </c>
      <c r="C32" s="50" t="n">
        <v>0</v>
      </c>
      <c r="D32" s="50" t="n">
        <v>60</v>
      </c>
      <c r="E32" s="50" t="n">
        <v>0</v>
      </c>
      <c r="F32" s="50" t="n">
        <v>0</v>
      </c>
      <c r="G32" s="50" t="n">
        <v>0</v>
      </c>
      <c r="H32" s="50" t="n">
        <v>0</v>
      </c>
      <c r="I32" s="50" t="n">
        <v>0</v>
      </c>
      <c r="J32" s="50" t="n">
        <v>0</v>
      </c>
      <c r="K32" s="50" t="n">
        <v>0</v>
      </c>
      <c r="Q32" s="46" t="n"/>
    </row>
    <row r="33" ht="20.25" customHeight="1">
      <c r="A33" s="8" t="n">
        <v>46194</v>
      </c>
      <c r="B33" s="50" t="n">
        <v>0</v>
      </c>
      <c r="C33" s="50" t="n">
        <v>757</v>
      </c>
      <c r="D33" s="50" t="n">
        <v>0</v>
      </c>
      <c r="E33" s="50" t="n">
        <v>0</v>
      </c>
      <c r="F33" s="50" t="n">
        <v>170</v>
      </c>
      <c r="G33" s="50" t="n">
        <v>0</v>
      </c>
      <c r="H33" s="50" t="n">
        <v>0</v>
      </c>
      <c r="I33" s="50" t="n">
        <v>0</v>
      </c>
      <c r="J33" s="50" t="n">
        <v>0</v>
      </c>
      <c r="K33" s="50" t="n">
        <v>0</v>
      </c>
      <c r="Q33" s="46" t="n"/>
    </row>
    <row r="34" ht="21" customHeight="1">
      <c r="A34" s="8" t="n">
        <v>46195</v>
      </c>
      <c r="B34" s="50" t="n">
        <v>0</v>
      </c>
      <c r="C34" s="50" t="n">
        <v>350</v>
      </c>
      <c r="D34" s="50" t="n">
        <v>0</v>
      </c>
      <c r="E34" s="50" t="n">
        <v>0</v>
      </c>
      <c r="F34" s="50" t="n">
        <v>0</v>
      </c>
      <c r="G34" s="50" t="n">
        <v>0</v>
      </c>
      <c r="H34" s="50" t="n">
        <v>0</v>
      </c>
      <c r="I34" s="50" t="n">
        <v>0</v>
      </c>
      <c r="J34" s="50" t="n">
        <v>0</v>
      </c>
      <c r="K34" s="50" t="n">
        <v>0</v>
      </c>
      <c r="Q34" s="46" t="n"/>
    </row>
    <row r="35" ht="21" customHeight="1">
      <c r="A35" s="8" t="n">
        <v>46196</v>
      </c>
      <c r="B35" s="50" t="n">
        <v>0</v>
      </c>
      <c r="C35" s="50" t="n">
        <v>0</v>
      </c>
      <c r="D35" s="50" t="n">
        <v>0</v>
      </c>
      <c r="E35" s="50" t="n">
        <v>0</v>
      </c>
      <c r="F35" s="50" t="n">
        <v>0</v>
      </c>
      <c r="G35" s="50" t="n">
        <v>0</v>
      </c>
      <c r="H35" s="50" t="n">
        <v>0</v>
      </c>
      <c r="I35" s="50" t="n">
        <v>0</v>
      </c>
      <c r="J35" s="50" t="n">
        <v>0</v>
      </c>
      <c r="K35" s="50" t="n">
        <v>0</v>
      </c>
      <c r="Q35" s="46" t="n"/>
    </row>
    <row r="36" ht="20.25" customHeight="1">
      <c r="A36" s="8" t="n">
        <v>46197</v>
      </c>
      <c r="B36" s="50" t="n">
        <v>0</v>
      </c>
      <c r="C36" s="50" t="n">
        <v>0</v>
      </c>
      <c r="D36" s="50" t="n">
        <v>0</v>
      </c>
      <c r="E36" s="50" t="n">
        <v>50</v>
      </c>
      <c r="F36" s="50" t="n">
        <v>0</v>
      </c>
      <c r="G36" s="50" t="n">
        <v>0</v>
      </c>
      <c r="H36" s="50" t="n">
        <v>0</v>
      </c>
      <c r="I36" s="50" t="n">
        <v>0</v>
      </c>
      <c r="J36" s="50" t="n">
        <v>0</v>
      </c>
      <c r="K36" s="50" t="n">
        <v>0</v>
      </c>
      <c r="Q36" s="46" t="n"/>
    </row>
    <row r="37" ht="21" customHeight="1">
      <c r="A37" s="8" t="n">
        <v>46198</v>
      </c>
      <c r="B37" s="50" t="n">
        <v>20</v>
      </c>
      <c r="C37" s="50" t="n">
        <v>0</v>
      </c>
      <c r="D37" s="50" t="n">
        <v>0</v>
      </c>
      <c r="E37" s="50" t="n">
        <v>80</v>
      </c>
      <c r="F37" s="50" t="n">
        <v>0</v>
      </c>
      <c r="G37" s="50" t="n">
        <v>0</v>
      </c>
      <c r="H37" s="50" t="n">
        <v>0</v>
      </c>
      <c r="I37" s="50" t="n">
        <v>0</v>
      </c>
      <c r="J37" s="50" t="n">
        <v>0</v>
      </c>
      <c r="K37" s="50" t="n">
        <v>0</v>
      </c>
      <c r="Q37" s="46" t="n"/>
    </row>
    <row r="38" ht="21" customHeight="1">
      <c r="A38" s="8" t="n">
        <v>46199</v>
      </c>
      <c r="B38" s="50" t="n">
        <v>0</v>
      </c>
      <c r="C38" s="50" t="n">
        <v>0</v>
      </c>
      <c r="D38" s="50" t="n">
        <v>0</v>
      </c>
      <c r="E38" s="50" t="n">
        <v>30</v>
      </c>
      <c r="F38" s="50" t="n">
        <v>0</v>
      </c>
      <c r="G38" s="50" t="n">
        <v>0</v>
      </c>
      <c r="H38" s="50" t="n">
        <v>0</v>
      </c>
      <c r="I38" s="50" t="n">
        <v>0</v>
      </c>
      <c r="J38" s="50" t="n">
        <v>0</v>
      </c>
      <c r="K38" s="50" t="n">
        <v>0</v>
      </c>
      <c r="Q38" s="46" t="n"/>
    </row>
    <row r="39" ht="21" customHeight="1">
      <c r="A39" s="8" t="n">
        <v>46200</v>
      </c>
      <c r="B39" s="50" t="n">
        <v>0</v>
      </c>
      <c r="C39" s="50" t="n">
        <v>70</v>
      </c>
      <c r="D39" s="50" t="n">
        <v>0</v>
      </c>
      <c r="E39" s="50" t="n">
        <v>0</v>
      </c>
      <c r="F39" s="50" t="n">
        <v>0</v>
      </c>
      <c r="G39" s="50" t="n">
        <v>0</v>
      </c>
      <c r="H39" s="50" t="n">
        <v>0</v>
      </c>
      <c r="I39" s="50" t="n">
        <v>0</v>
      </c>
      <c r="J39" s="50" t="n">
        <v>0</v>
      </c>
      <c r="K39" s="50" t="n">
        <v>0</v>
      </c>
      <c r="Q39" s="46" t="n"/>
    </row>
    <row r="40" ht="21.75" customHeight="1" thickBot="1">
      <c r="A40" s="8" t="n">
        <v>46201</v>
      </c>
      <c r="B40" s="50" t="n">
        <v>0</v>
      </c>
      <c r="C40" s="50" t="n">
        <v>0</v>
      </c>
      <c r="D40" s="50" t="n">
        <v>0</v>
      </c>
      <c r="E40" s="50" t="n">
        <v>0</v>
      </c>
      <c r="F40" s="50" t="n">
        <v>0</v>
      </c>
      <c r="G40" s="50" t="n">
        <v>0</v>
      </c>
      <c r="H40" s="50" t="n">
        <v>0</v>
      </c>
      <c r="I40" s="50" t="n">
        <v>0</v>
      </c>
      <c r="J40" s="50" t="n">
        <v>0</v>
      </c>
      <c r="K40" s="50" t="n">
        <v>0</v>
      </c>
      <c r="Q40" s="46" t="n"/>
    </row>
    <row r="41" ht="24.75" customHeight="1" thickBot="1" thickTop="1">
      <c r="A41" s="13" t="n"/>
      <c r="B41" s="14">
        <f>SUM(B10:B40)</f>
        <v/>
      </c>
      <c r="C41" s="14">
        <f>SUM(C10:C40)</f>
        <v/>
      </c>
      <c r="D41" s="14">
        <f>SUM(D10:D40)</f>
        <v/>
      </c>
      <c r="E41" s="14">
        <f>SUM(E10:E40)</f>
        <v/>
      </c>
      <c r="F41" s="14">
        <f>SUM(F10:F40)</f>
        <v/>
      </c>
      <c r="G41" s="14">
        <f>SUM(G10:G40)</f>
        <v/>
      </c>
      <c r="H41" s="14">
        <f>SUM(H10:H40)</f>
        <v/>
      </c>
      <c r="I41" s="14">
        <f>SUM(I10:I40)</f>
        <v/>
      </c>
      <c r="J41" s="14">
        <f>SUM(J10:J40)</f>
        <v/>
      </c>
      <c r="K41" s="14">
        <f>SUM(K10:K40)</f>
        <v/>
      </c>
      <c r="L41" s="46">
        <f>SUM(B41:K41)</f>
        <v/>
      </c>
    </row>
    <row r="42" ht="19.5" customHeight="1" thickTop="1">
      <c r="A42" s="25" t="n"/>
      <c r="B42" s="25" t="n"/>
      <c r="C42" s="25" t="n"/>
      <c r="D42" s="25" t="n"/>
      <c r="E42" s="25" t="n"/>
      <c r="F42" s="25" t="n"/>
      <c r="G42" s="25" t="n"/>
    </row>
    <row r="43" ht="18.75" customHeight="1">
      <c r="A43" s="25" t="n"/>
      <c r="E43" s="25" t="n"/>
      <c r="F43" s="25" t="n"/>
      <c r="G43" s="25" t="n"/>
    </row>
    <row r="44" ht="18.75" customHeight="1">
      <c r="A44" s="25" t="n"/>
      <c r="E44" s="25" t="n"/>
      <c r="F44" s="25" t="n"/>
      <c r="G44" s="25" t="n"/>
    </row>
    <row r="45" ht="18.75" customHeight="1">
      <c r="A45" s="25" t="n"/>
      <c r="B45" s="25" t="n"/>
      <c r="C45" s="25" t="n"/>
      <c r="D45" s="25" t="n"/>
      <c r="E45" s="25" t="n"/>
      <c r="F45" s="25" t="n"/>
      <c r="G45" s="25" t="n"/>
    </row>
    <row r="46" ht="18.75" customHeight="1">
      <c r="A46" s="25" t="n"/>
      <c r="B46" s="25" t="n"/>
      <c r="C46" s="25" t="n"/>
      <c r="D46" s="25" t="n"/>
      <c r="E46" s="25" t="n"/>
      <c r="F46" s="25" t="n"/>
      <c r="G46" s="25" t="n"/>
    </row>
    <row r="47" ht="18.75" customHeight="1">
      <c r="A47" s="25" t="n"/>
      <c r="B47" s="25" t="n"/>
      <c r="C47" s="25" t="n"/>
      <c r="D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sheetData>
  <mergeCells count="12">
    <mergeCell ref="A8:A9"/>
    <mergeCell ref="E8:E9"/>
    <mergeCell ref="C8:C9"/>
    <mergeCell ref="H8:H9"/>
    <mergeCell ref="F8:F9"/>
    <mergeCell ref="G8:G9"/>
    <mergeCell ref="K8:K9"/>
    <mergeCell ref="J8:J9"/>
    <mergeCell ref="I8:I9"/>
    <mergeCell ref="L9:N9"/>
    <mergeCell ref="D8:D9"/>
    <mergeCell ref="B8:B9"/>
  </mergeCells>
  <hyperlinks>
    <hyperlink ref="B8" location="'Trabajos Realizados CCM1'!A1" display="CCM 01"/>
    <hyperlink ref="C8" location="'Trabajos Realizados CCM2'!A1" display="CCM 02"/>
    <hyperlink ref="D8" location="'Trabajos Realizados CCM3'!A1" display="CCM 03"/>
    <hyperlink ref="E8" location="'Trabajos Realizados CCM64-1'!A1" display="CCM 04"/>
    <hyperlink ref="F8" location="'Trabajos Realizados CCM64-2'!A1" display="CCM 05"/>
    <hyperlink ref="G8" location="'Trabajos Realizados CCM 06'!A1" display="CCM 06"/>
    <hyperlink ref="H8" location="'Trabajos Realizados CCM 07'!A1" display="CCM 06"/>
    <hyperlink ref="I8" location="'Trabajos Realizados CCM 08'!A1" display="CCM8"/>
    <hyperlink ref="J8" location="'Trabajos Realizados PMV 02'!A1" display="PMV 02"/>
    <hyperlink ref="K8" location="'Trabajos Realizados PMV 04'!A1" display="PMV 04"/>
  </hyperlinks>
  <pageMargins left="0.75" right="0.75" top="1" bottom="1" header="0" footer="0"/>
  <pageSetup orientation="landscape" scale="80" verticalDpi="2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7:N52"/>
  <sheetViews>
    <sheetView topLeftCell="A21" zoomScale="70" zoomScaleNormal="70" workbookViewId="0">
      <pane xSplit="1" topLeftCell="B1" activePane="topRight" state="frozen"/>
      <selection pane="topRight" activeCell="B10" sqref="B10:K40"/>
    </sheetView>
  </sheetViews>
  <sheetFormatPr baseColWidth="10" defaultColWidth="11.42578125" defaultRowHeight="15"/>
  <cols>
    <col width="33.28515625" customWidth="1" style="1" min="1" max="1"/>
    <col width="14.5703125" customWidth="1" style="1" min="2" max="5"/>
    <col width="14.7109375" customWidth="1" style="1" min="6" max="10"/>
    <col width="14.5703125" customWidth="1" style="1" min="11" max="11"/>
    <col width="14.7109375" customWidth="1" style="1" min="12" max="13"/>
    <col width="13.28515625" customWidth="1" style="1" min="14" max="14"/>
    <col width="14.28515625" customWidth="1" style="1" min="15" max="15"/>
    <col width="11.42578125" customWidth="1" style="1" min="16" max="16384"/>
  </cols>
  <sheetData>
    <row r="1" ht="9.75" customHeight="1"/>
    <row r="2" ht="12" customHeight="1"/>
    <row r="7" ht="12.75" customHeight="1" thickBot="1">
      <c r="A7" s="25" t="n"/>
      <c r="B7" s="25" t="n"/>
      <c r="C7" s="25" t="n"/>
      <c r="D7" s="25" t="n"/>
      <c r="E7" s="25" t="n"/>
      <c r="F7" s="25" t="n"/>
      <c r="G7" s="25" t="n"/>
    </row>
    <row r="8" ht="19.5" customHeight="1" thickTop="1">
      <c r="A8" s="137" t="inlineStr">
        <is>
          <t xml:space="preserve">DÍA / planta </t>
        </is>
      </c>
      <c r="B8" s="137" t="inlineStr">
        <is>
          <t>CCM 01</t>
        </is>
      </c>
      <c r="C8" s="137" t="inlineStr">
        <is>
          <t>CCM 02</t>
        </is>
      </c>
      <c r="D8" s="137" t="inlineStr">
        <is>
          <t>CCM 03</t>
        </is>
      </c>
      <c r="E8" s="137" t="inlineStr">
        <is>
          <t>CCM 04</t>
        </is>
      </c>
      <c r="F8" s="137" t="inlineStr">
        <is>
          <t>CCM 05</t>
        </is>
      </c>
      <c r="G8" s="137" t="inlineStr">
        <is>
          <t>CCM 06</t>
        </is>
      </c>
      <c r="H8" s="137" t="inlineStr">
        <is>
          <t>CCM 07</t>
        </is>
      </c>
      <c r="I8" s="137" t="inlineStr">
        <is>
          <t>CCM 08</t>
        </is>
      </c>
      <c r="J8" s="137" t="inlineStr">
        <is>
          <t>PMV 02</t>
        </is>
      </c>
      <c r="K8" s="137"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8" t="n">
        <v>46171</v>
      </c>
      <c r="B10" s="57" t="n">
        <v>0</v>
      </c>
      <c r="C10" s="57" t="n">
        <v>0</v>
      </c>
      <c r="D10" s="57" t="n">
        <v>0</v>
      </c>
      <c r="E10" s="57" t="n">
        <v>0</v>
      </c>
      <c r="F10" s="57" t="n">
        <v>0</v>
      </c>
      <c r="G10" s="57" t="n">
        <v>0</v>
      </c>
      <c r="H10" s="57" t="n">
        <v>0</v>
      </c>
      <c r="I10" s="57" t="n">
        <v>0</v>
      </c>
      <c r="J10" s="57" t="n">
        <v>0</v>
      </c>
      <c r="K10" s="57" t="n">
        <v>0</v>
      </c>
    </row>
    <row r="11" ht="21" customHeight="1">
      <c r="A11" s="8" t="n">
        <v>46172</v>
      </c>
      <c r="B11" s="57" t="n">
        <v>0</v>
      </c>
      <c r="C11" s="57" t="n">
        <v>0</v>
      </c>
      <c r="D11" s="57" t="n">
        <v>0</v>
      </c>
      <c r="E11" s="57" t="n">
        <v>0</v>
      </c>
      <c r="F11" s="57" t="n">
        <v>0</v>
      </c>
      <c r="G11" s="57" t="n">
        <v>0</v>
      </c>
      <c r="H11" s="57" t="n">
        <v>0</v>
      </c>
      <c r="I11" s="57" t="n">
        <v>0</v>
      </c>
      <c r="J11" s="57" t="n">
        <v>0</v>
      </c>
      <c r="K11" s="57" t="n">
        <v>0</v>
      </c>
    </row>
    <row r="12" ht="21" customHeight="1">
      <c r="A12" s="8" t="n">
        <v>46173</v>
      </c>
      <c r="B12" s="57" t="n">
        <v>0</v>
      </c>
      <c r="C12" s="57" t="n">
        <v>0</v>
      </c>
      <c r="D12" s="57" t="n">
        <v>0</v>
      </c>
      <c r="E12" s="57" t="n">
        <v>0</v>
      </c>
      <c r="F12" s="57" t="n">
        <v>0</v>
      </c>
      <c r="G12" s="57" t="n">
        <v>0</v>
      </c>
      <c r="H12" s="57" t="n">
        <v>0</v>
      </c>
      <c r="I12" s="57" t="n">
        <v>0</v>
      </c>
      <c r="J12" s="57" t="n">
        <v>0</v>
      </c>
      <c r="K12" s="57" t="n">
        <v>0</v>
      </c>
    </row>
    <row r="13" ht="21" customHeight="1">
      <c r="A13" s="8" t="n">
        <v>46174</v>
      </c>
      <c r="B13" s="57" t="n">
        <v>0</v>
      </c>
      <c r="C13" s="57" t="n">
        <v>0</v>
      </c>
      <c r="D13" s="57" t="n">
        <v>0</v>
      </c>
      <c r="E13" s="57" t="n">
        <v>0</v>
      </c>
      <c r="F13" s="57" t="n">
        <v>0</v>
      </c>
      <c r="G13" s="57" t="n">
        <v>0</v>
      </c>
      <c r="H13" s="57" t="n">
        <v>0</v>
      </c>
      <c r="I13" s="57" t="n">
        <v>0</v>
      </c>
      <c r="J13" s="57" t="n">
        <v>0</v>
      </c>
      <c r="K13" s="57" t="n">
        <v>0</v>
      </c>
    </row>
    <row r="14" ht="21" customHeight="1">
      <c r="A14" s="8" t="n">
        <v>46175</v>
      </c>
      <c r="B14" s="57" t="n">
        <v>0</v>
      </c>
      <c r="C14" s="57" t="n">
        <v>0</v>
      </c>
      <c r="D14" s="57" t="n">
        <v>0</v>
      </c>
      <c r="E14" s="57" t="n">
        <v>0</v>
      </c>
      <c r="F14" s="57" t="n">
        <v>0</v>
      </c>
      <c r="G14" s="57" t="n">
        <v>0</v>
      </c>
      <c r="H14" s="57" t="n">
        <v>0</v>
      </c>
      <c r="I14" s="57" t="n">
        <v>0</v>
      </c>
      <c r="J14" s="57" t="n">
        <v>0</v>
      </c>
      <c r="K14" s="57" t="n">
        <v>0</v>
      </c>
    </row>
    <row r="15" ht="21" customHeight="1">
      <c r="A15" s="8" t="n">
        <v>46176</v>
      </c>
      <c r="B15" s="57" t="n">
        <v>0</v>
      </c>
      <c r="C15" s="57" t="n">
        <v>0</v>
      </c>
      <c r="D15" s="57" t="n">
        <v>0</v>
      </c>
      <c r="E15" s="57" t="n">
        <v>0</v>
      </c>
      <c r="F15" s="57" t="n">
        <v>0</v>
      </c>
      <c r="G15" s="57" t="n">
        <v>0</v>
      </c>
      <c r="H15" s="57" t="n">
        <v>0</v>
      </c>
      <c r="I15" s="57" t="n">
        <v>0</v>
      </c>
      <c r="J15" s="57" t="n">
        <v>0</v>
      </c>
      <c r="K15" s="57" t="n">
        <v>0</v>
      </c>
    </row>
    <row r="16" ht="21" customHeight="1">
      <c r="A16" s="8" t="n">
        <v>46177</v>
      </c>
      <c r="B16" s="57" t="n">
        <v>220</v>
      </c>
      <c r="C16" s="57" t="n">
        <v>0</v>
      </c>
      <c r="D16" s="57" t="n">
        <v>0</v>
      </c>
      <c r="E16" s="57" t="n">
        <v>0</v>
      </c>
      <c r="F16" s="57" t="n">
        <v>0</v>
      </c>
      <c r="G16" s="57" t="n">
        <v>0</v>
      </c>
      <c r="H16" s="57" t="n">
        <v>0</v>
      </c>
      <c r="I16" s="57" t="n">
        <v>0</v>
      </c>
      <c r="J16" s="57" t="n">
        <v>0</v>
      </c>
      <c r="K16" s="57" t="n">
        <v>0</v>
      </c>
    </row>
    <row r="17" ht="21" customHeight="1">
      <c r="A17" s="8" t="n">
        <v>46178</v>
      </c>
      <c r="B17" s="57" t="n">
        <v>0</v>
      </c>
      <c r="C17" s="57" t="n">
        <v>0</v>
      </c>
      <c r="D17" s="57" t="n">
        <v>360</v>
      </c>
      <c r="E17" s="57" t="n">
        <v>0</v>
      </c>
      <c r="F17" s="57" t="n">
        <v>0</v>
      </c>
      <c r="G17" s="57" t="n">
        <v>0</v>
      </c>
      <c r="H17" s="57" t="n">
        <v>0</v>
      </c>
      <c r="I17" s="57" t="n">
        <v>0</v>
      </c>
      <c r="J17" s="57" t="n">
        <v>0</v>
      </c>
      <c r="K17" s="57" t="n">
        <v>0</v>
      </c>
    </row>
    <row r="18" ht="21" customHeight="1">
      <c r="A18" s="8" t="n">
        <v>46179</v>
      </c>
      <c r="B18" s="57" t="n">
        <v>0</v>
      </c>
      <c r="C18" s="57" t="n">
        <v>0</v>
      </c>
      <c r="D18" s="57" t="n">
        <v>0</v>
      </c>
      <c r="E18" s="57" t="n">
        <v>0</v>
      </c>
      <c r="F18" s="57" t="n">
        <v>0</v>
      </c>
      <c r="G18" s="57" t="n">
        <v>480</v>
      </c>
      <c r="H18" s="57" t="n">
        <v>0</v>
      </c>
      <c r="I18" s="57" t="n">
        <v>0</v>
      </c>
      <c r="J18" s="57" t="n">
        <v>0</v>
      </c>
      <c r="K18" s="57" t="n">
        <v>0</v>
      </c>
    </row>
    <row r="19" ht="21" customHeight="1">
      <c r="A19" s="8" t="n">
        <v>46180</v>
      </c>
      <c r="B19" s="57" t="n">
        <v>0</v>
      </c>
      <c r="C19" s="57" t="n">
        <v>0</v>
      </c>
      <c r="D19" s="57" t="n">
        <v>0</v>
      </c>
      <c r="E19" s="57" t="n">
        <v>0</v>
      </c>
      <c r="F19" s="57" t="n">
        <v>0</v>
      </c>
      <c r="G19" s="57" t="n">
        <v>0</v>
      </c>
      <c r="H19" s="57" t="n">
        <v>0</v>
      </c>
      <c r="I19" s="57" t="n">
        <v>0</v>
      </c>
      <c r="J19" s="57" t="n">
        <v>0</v>
      </c>
      <c r="K19" s="57" t="n">
        <v>0</v>
      </c>
    </row>
    <row r="20" ht="21" customHeight="1">
      <c r="A20" s="8" t="n">
        <v>46181</v>
      </c>
      <c r="B20" s="57" t="n">
        <v>0</v>
      </c>
      <c r="C20" s="57" t="n">
        <v>0</v>
      </c>
      <c r="D20" s="57" t="n">
        <v>0</v>
      </c>
      <c r="E20" s="57" t="n">
        <v>0</v>
      </c>
      <c r="F20" s="57" t="n">
        <v>0</v>
      </c>
      <c r="G20" s="57" t="n">
        <v>0</v>
      </c>
      <c r="H20" s="57" t="n">
        <v>0</v>
      </c>
      <c r="I20" s="57" t="n">
        <v>0</v>
      </c>
      <c r="J20" s="57" t="n">
        <v>0</v>
      </c>
      <c r="K20" s="57" t="n">
        <v>0</v>
      </c>
    </row>
    <row r="21" ht="21" customHeight="1">
      <c r="A21" s="8" t="n">
        <v>46182</v>
      </c>
      <c r="B21" s="57" t="n">
        <v>0</v>
      </c>
      <c r="C21" s="57" t="n">
        <v>0</v>
      </c>
      <c r="D21" s="57" t="n">
        <v>0</v>
      </c>
      <c r="E21" s="57" t="n">
        <v>0</v>
      </c>
      <c r="F21" s="57" t="n">
        <v>0</v>
      </c>
      <c r="G21" s="57" t="n">
        <v>0</v>
      </c>
      <c r="H21" s="57" t="n">
        <v>0</v>
      </c>
      <c r="I21" s="57" t="n">
        <v>0</v>
      </c>
      <c r="J21" s="57" t="n">
        <v>0</v>
      </c>
      <c r="K21" s="57" t="n">
        <v>0</v>
      </c>
    </row>
    <row r="22" ht="21" customHeight="1">
      <c r="A22" s="8" t="n">
        <v>46183</v>
      </c>
      <c r="B22" s="57" t="n">
        <v>0</v>
      </c>
      <c r="C22" s="57" t="n">
        <v>0</v>
      </c>
      <c r="D22" s="57" t="n">
        <v>0</v>
      </c>
      <c r="E22" s="57" t="n">
        <v>0</v>
      </c>
      <c r="F22" s="57" t="n">
        <v>0</v>
      </c>
      <c r="G22" s="57" t="n">
        <v>0</v>
      </c>
      <c r="H22" s="57" t="n">
        <v>0</v>
      </c>
      <c r="I22" s="57" t="n">
        <v>0</v>
      </c>
      <c r="J22" s="57" t="n">
        <v>0</v>
      </c>
      <c r="K22" s="57" t="n">
        <v>0</v>
      </c>
    </row>
    <row r="23" ht="21" customHeight="1">
      <c r="A23" s="8" t="n">
        <v>46184</v>
      </c>
      <c r="B23" s="57" t="n">
        <v>0</v>
      </c>
      <c r="C23" s="57" t="n">
        <v>0</v>
      </c>
      <c r="D23" s="57" t="n">
        <v>0</v>
      </c>
      <c r="E23" s="57" t="n">
        <v>0</v>
      </c>
      <c r="F23" s="57" t="n">
        <v>0</v>
      </c>
      <c r="G23" s="57" t="n">
        <v>0</v>
      </c>
      <c r="H23" s="57" t="n">
        <v>0</v>
      </c>
      <c r="I23" s="57" t="n">
        <v>0</v>
      </c>
      <c r="J23" s="57" t="n">
        <v>0</v>
      </c>
      <c r="K23" s="57" t="n">
        <v>0</v>
      </c>
    </row>
    <row r="24" ht="21" customHeight="1">
      <c r="A24" s="8" t="n">
        <v>46185</v>
      </c>
      <c r="B24" s="57" t="n">
        <v>0</v>
      </c>
      <c r="C24" s="57" t="n">
        <v>0</v>
      </c>
      <c r="D24" s="57" t="n">
        <v>0</v>
      </c>
      <c r="E24" s="57" t="n">
        <v>0</v>
      </c>
      <c r="F24" s="57" t="n">
        <v>0</v>
      </c>
      <c r="G24" s="57" t="n">
        <v>0</v>
      </c>
      <c r="H24" s="57" t="n">
        <v>0</v>
      </c>
      <c r="I24" s="57" t="n">
        <v>430</v>
      </c>
      <c r="J24" s="57" t="n">
        <v>0</v>
      </c>
      <c r="K24" s="57" t="n">
        <v>0</v>
      </c>
    </row>
    <row r="25" ht="21" customHeight="1">
      <c r="A25" s="8" t="n">
        <v>46186</v>
      </c>
      <c r="B25" s="57" t="n">
        <v>0</v>
      </c>
      <c r="C25" s="57" t="n">
        <v>0</v>
      </c>
      <c r="D25" s="57" t="n">
        <v>0</v>
      </c>
      <c r="E25" s="57" t="n">
        <v>0</v>
      </c>
      <c r="F25" s="57" t="n">
        <v>0</v>
      </c>
      <c r="G25" s="57" t="n">
        <v>0</v>
      </c>
      <c r="H25" s="57" t="n">
        <v>410</v>
      </c>
      <c r="I25" s="57" t="n">
        <v>0</v>
      </c>
      <c r="J25" s="57" t="n">
        <v>0</v>
      </c>
      <c r="K25" s="57" t="n">
        <v>0</v>
      </c>
    </row>
    <row r="26" ht="21" customHeight="1">
      <c r="A26" s="8" t="n">
        <v>46187</v>
      </c>
      <c r="B26" s="57" t="n">
        <v>0</v>
      </c>
      <c r="C26" s="57" t="n">
        <v>0</v>
      </c>
      <c r="D26" s="57" t="n">
        <v>0</v>
      </c>
      <c r="E26" s="57" t="n">
        <v>0</v>
      </c>
      <c r="F26" s="57" t="n">
        <v>420</v>
      </c>
      <c r="G26" s="57" t="n">
        <v>0</v>
      </c>
      <c r="H26" s="57" t="n">
        <v>0</v>
      </c>
      <c r="I26" s="57" t="n">
        <v>0</v>
      </c>
      <c r="J26" s="57" t="n">
        <v>0</v>
      </c>
      <c r="K26" s="57" t="n">
        <v>0</v>
      </c>
    </row>
    <row r="27" ht="21" customHeight="1">
      <c r="A27" s="8" t="n">
        <v>46188</v>
      </c>
      <c r="B27" s="57" t="n">
        <v>0</v>
      </c>
      <c r="C27" s="57" t="n">
        <v>0</v>
      </c>
      <c r="D27" s="57" t="n">
        <v>0</v>
      </c>
      <c r="E27" s="57" t="n">
        <v>0</v>
      </c>
      <c r="F27" s="57" t="n">
        <v>0</v>
      </c>
      <c r="G27" s="57" t="n">
        <v>0</v>
      </c>
      <c r="H27" s="57" t="n">
        <v>0</v>
      </c>
      <c r="I27" s="57" t="n">
        <v>0</v>
      </c>
      <c r="J27" s="57" t="n">
        <v>0</v>
      </c>
      <c r="K27" s="57" t="n">
        <v>0</v>
      </c>
    </row>
    <row r="28" ht="21" customHeight="1">
      <c r="A28" s="8" t="n">
        <v>46189</v>
      </c>
      <c r="B28" s="57" t="n">
        <v>0</v>
      </c>
      <c r="C28" s="57" t="n">
        <v>0</v>
      </c>
      <c r="D28" s="57" t="n">
        <v>0</v>
      </c>
      <c r="E28" s="57" t="n">
        <v>0</v>
      </c>
      <c r="F28" s="57" t="n">
        <v>0</v>
      </c>
      <c r="G28" s="57" t="n">
        <v>0</v>
      </c>
      <c r="H28" s="57" t="n">
        <v>0</v>
      </c>
      <c r="I28" s="57" t="n">
        <v>0</v>
      </c>
      <c r="J28" s="57" t="n">
        <v>0</v>
      </c>
      <c r="K28" s="57" t="n">
        <v>0</v>
      </c>
    </row>
    <row r="29" ht="21" customHeight="1">
      <c r="A29" s="8" t="n">
        <v>46190</v>
      </c>
      <c r="B29" s="57" t="n">
        <v>0</v>
      </c>
      <c r="C29" s="57" t="n">
        <v>0</v>
      </c>
      <c r="D29" s="57" t="n">
        <v>0</v>
      </c>
      <c r="E29" s="57" t="n">
        <v>0</v>
      </c>
      <c r="F29" s="57" t="n">
        <v>0</v>
      </c>
      <c r="G29" s="57" t="n">
        <v>0</v>
      </c>
      <c r="H29" s="57" t="n">
        <v>0</v>
      </c>
      <c r="I29" s="57" t="n">
        <v>0</v>
      </c>
      <c r="J29" s="57" t="n">
        <v>0</v>
      </c>
      <c r="K29" s="57" t="n">
        <v>0</v>
      </c>
    </row>
    <row r="30" ht="21" customHeight="1">
      <c r="A30" s="8" t="n">
        <v>46191</v>
      </c>
      <c r="B30" s="57" t="n">
        <v>0</v>
      </c>
      <c r="C30" s="57" t="n">
        <v>0</v>
      </c>
      <c r="D30" s="57" t="n">
        <v>0</v>
      </c>
      <c r="E30" s="57" t="n">
        <v>0</v>
      </c>
      <c r="F30" s="57" t="n">
        <v>0</v>
      </c>
      <c r="G30" s="57" t="n">
        <v>0</v>
      </c>
      <c r="H30" s="57" t="n">
        <v>0</v>
      </c>
      <c r="I30" s="57" t="n">
        <v>0</v>
      </c>
      <c r="J30" s="57" t="n">
        <v>0</v>
      </c>
      <c r="K30" s="57" t="n">
        <v>0</v>
      </c>
    </row>
    <row r="31" ht="24" customHeight="1">
      <c r="A31" s="8" t="n">
        <v>46192</v>
      </c>
      <c r="B31" s="57" t="n">
        <v>0</v>
      </c>
      <c r="C31" s="57" t="n">
        <v>0</v>
      </c>
      <c r="D31" s="57" t="n">
        <v>0</v>
      </c>
      <c r="E31" s="57" t="n">
        <v>0</v>
      </c>
      <c r="F31" s="57" t="n">
        <v>0</v>
      </c>
      <c r="G31" s="57" t="n">
        <v>0</v>
      </c>
      <c r="H31" s="57" t="n">
        <v>0</v>
      </c>
      <c r="I31" s="57" t="n">
        <v>0</v>
      </c>
      <c r="J31" s="57" t="n">
        <v>0</v>
      </c>
      <c r="K31" s="57" t="n">
        <v>0</v>
      </c>
    </row>
    <row r="32" ht="20.25" customHeight="1">
      <c r="A32" s="8" t="n">
        <v>46193</v>
      </c>
      <c r="B32" s="57" t="n">
        <v>0</v>
      </c>
      <c r="C32" s="57" t="n">
        <v>0</v>
      </c>
      <c r="D32" s="57" t="n">
        <v>0</v>
      </c>
      <c r="E32" s="57" t="n">
        <v>0</v>
      </c>
      <c r="F32" s="57" t="n">
        <v>0</v>
      </c>
      <c r="G32" s="57" t="n">
        <v>0</v>
      </c>
      <c r="H32" s="57" t="n">
        <v>0</v>
      </c>
      <c r="I32" s="57" t="n">
        <v>0</v>
      </c>
      <c r="J32" s="57" t="n">
        <v>0</v>
      </c>
      <c r="K32" s="57" t="n">
        <v>0</v>
      </c>
    </row>
    <row r="33" ht="20.25" customHeight="1">
      <c r="A33" s="8" t="n">
        <v>46194</v>
      </c>
      <c r="B33" s="57" t="n">
        <v>0</v>
      </c>
      <c r="C33" s="57" t="n">
        <v>0</v>
      </c>
      <c r="D33" s="57" t="n">
        <v>0</v>
      </c>
      <c r="E33" s="57" t="n">
        <v>0</v>
      </c>
      <c r="F33" s="57" t="n">
        <v>0</v>
      </c>
      <c r="G33" s="57" t="n">
        <v>0</v>
      </c>
      <c r="H33" s="57" t="n">
        <v>0</v>
      </c>
      <c r="I33" s="57" t="n">
        <v>0</v>
      </c>
      <c r="J33" s="57" t="n">
        <v>0</v>
      </c>
      <c r="K33" s="57" t="n">
        <v>0</v>
      </c>
    </row>
    <row r="34" ht="20.25" customHeight="1">
      <c r="A34" s="8" t="n">
        <v>46195</v>
      </c>
      <c r="B34" s="57" t="n">
        <v>0</v>
      </c>
      <c r="C34" s="57" t="n">
        <v>0</v>
      </c>
      <c r="D34" s="57" t="n">
        <v>0</v>
      </c>
      <c r="E34" s="57" t="n">
        <v>0</v>
      </c>
      <c r="F34" s="57" t="n">
        <v>0</v>
      </c>
      <c r="G34" s="57" t="n">
        <v>0</v>
      </c>
      <c r="H34" s="57" t="n">
        <v>0</v>
      </c>
      <c r="I34" s="57" t="n">
        <v>0</v>
      </c>
      <c r="J34" s="57" t="n">
        <v>0</v>
      </c>
      <c r="K34" s="57" t="n">
        <v>0</v>
      </c>
    </row>
    <row r="35" ht="21" customHeight="1">
      <c r="A35" s="8" t="n">
        <v>46196</v>
      </c>
      <c r="B35" s="57" t="n">
        <v>0</v>
      </c>
      <c r="C35" s="57" t="n">
        <v>0</v>
      </c>
      <c r="D35" s="57" t="n">
        <v>0</v>
      </c>
      <c r="E35" s="57" t="n">
        <v>0</v>
      </c>
      <c r="F35" s="57" t="n">
        <v>0</v>
      </c>
      <c r="G35" s="57" t="n">
        <v>0</v>
      </c>
      <c r="H35" s="57" t="n">
        <v>0</v>
      </c>
      <c r="I35" s="57" t="n">
        <v>0</v>
      </c>
      <c r="J35" s="57" t="n">
        <v>0</v>
      </c>
      <c r="K35" s="57" t="n">
        <v>0</v>
      </c>
    </row>
    <row r="36" ht="21" customHeight="1">
      <c r="A36" s="8" t="n">
        <v>46197</v>
      </c>
      <c r="B36" s="57" t="n">
        <v>0</v>
      </c>
      <c r="C36" s="57" t="n">
        <v>0</v>
      </c>
      <c r="D36" s="57" t="n">
        <v>0</v>
      </c>
      <c r="E36" s="57" t="n">
        <v>0</v>
      </c>
      <c r="F36" s="57" t="n">
        <v>0</v>
      </c>
      <c r="G36" s="57" t="n">
        <v>0</v>
      </c>
      <c r="H36" s="57" t="n">
        <v>0</v>
      </c>
      <c r="I36" s="57" t="n">
        <v>0</v>
      </c>
      <c r="J36" s="57" t="n">
        <v>0</v>
      </c>
      <c r="K36" s="57" t="n">
        <v>0</v>
      </c>
    </row>
    <row r="37" ht="21" customHeight="1">
      <c r="A37" s="8" t="n">
        <v>46198</v>
      </c>
      <c r="B37" s="57" t="n">
        <v>0</v>
      </c>
      <c r="C37" s="57" t="n">
        <v>0</v>
      </c>
      <c r="D37" s="57" t="n">
        <v>0</v>
      </c>
      <c r="E37" s="57" t="n">
        <v>0</v>
      </c>
      <c r="F37" s="57" t="n">
        <v>1320</v>
      </c>
      <c r="G37" s="57" t="n">
        <v>0</v>
      </c>
      <c r="H37" s="57" t="n">
        <v>0</v>
      </c>
      <c r="I37" s="57" t="n">
        <v>0</v>
      </c>
      <c r="J37" s="57" t="n">
        <v>0</v>
      </c>
      <c r="K37" s="57" t="n">
        <v>0</v>
      </c>
    </row>
    <row r="38" ht="21" customHeight="1">
      <c r="A38" s="8" t="n">
        <v>46199</v>
      </c>
      <c r="B38" s="57" t="n">
        <v>0</v>
      </c>
      <c r="C38" s="57" t="n">
        <v>0</v>
      </c>
      <c r="D38" s="57" t="n">
        <v>0</v>
      </c>
      <c r="E38" s="57" t="n">
        <v>0</v>
      </c>
      <c r="F38" s="57" t="n">
        <v>1440</v>
      </c>
      <c r="G38" s="57" t="n">
        <v>0</v>
      </c>
      <c r="H38" s="57" t="n">
        <v>0</v>
      </c>
      <c r="I38" s="57" t="n">
        <v>0</v>
      </c>
      <c r="J38" s="57" t="n">
        <v>0</v>
      </c>
      <c r="K38" s="57" t="n">
        <v>0</v>
      </c>
    </row>
    <row r="39" ht="19.5" customHeight="1">
      <c r="A39" s="8" t="n">
        <v>46200</v>
      </c>
      <c r="B39" s="57" t="n">
        <v>0</v>
      </c>
      <c r="C39" s="57" t="n">
        <v>0</v>
      </c>
      <c r="D39" s="57" t="n">
        <v>0</v>
      </c>
      <c r="E39" s="57" t="n">
        <v>0</v>
      </c>
      <c r="F39" s="57" t="n">
        <v>1560</v>
      </c>
      <c r="G39" s="57" t="n">
        <v>0</v>
      </c>
      <c r="H39" s="57" t="n">
        <v>0</v>
      </c>
      <c r="I39" s="57" t="n">
        <v>0</v>
      </c>
      <c r="J39" s="57" t="n">
        <v>0</v>
      </c>
      <c r="K39" s="57" t="n">
        <v>0</v>
      </c>
    </row>
    <row r="40" ht="21.75" customHeight="1" thickBot="1">
      <c r="A40" s="8" t="n">
        <v>46201</v>
      </c>
      <c r="B40" s="57" t="n">
        <v>0</v>
      </c>
      <c r="C40" s="57" t="n">
        <v>0</v>
      </c>
      <c r="D40" s="57" t="n">
        <v>0</v>
      </c>
      <c r="E40" s="57" t="n">
        <v>0</v>
      </c>
      <c r="F40" s="57" t="n">
        <v>1440</v>
      </c>
      <c r="G40" s="57" t="n">
        <v>0</v>
      </c>
      <c r="H40" s="57" t="n">
        <v>0</v>
      </c>
      <c r="I40" s="57" t="n">
        <v>0</v>
      </c>
      <c r="J40" s="57" t="n">
        <v>0</v>
      </c>
      <c r="K40" s="57" t="n">
        <v>0</v>
      </c>
    </row>
    <row r="41" hidden="1" ht="21" customHeight="1">
      <c r="A41" s="8" t="n">
        <v>46202</v>
      </c>
      <c r="B41" s="57" t="n">
        <v>0</v>
      </c>
      <c r="C41" s="57" t="n">
        <v>0</v>
      </c>
      <c r="D41" s="57" t="n">
        <v>0</v>
      </c>
      <c r="E41" s="57" t="n">
        <v>0</v>
      </c>
      <c r="F41" s="57" t="n">
        <v>780</v>
      </c>
      <c r="G41" s="57" t="n">
        <v>0</v>
      </c>
      <c r="H41" s="57" t="n">
        <v>0</v>
      </c>
      <c r="I41" s="57" t="n">
        <v>0</v>
      </c>
      <c r="J41" s="57" t="n">
        <v>0</v>
      </c>
      <c r="K41" s="57" t="n">
        <v>0</v>
      </c>
      <c r="L41" s="53" t="n"/>
    </row>
    <row r="42" hidden="1" ht="21" customHeight="1">
      <c r="A42" s="8" t="n">
        <v>46203</v>
      </c>
      <c r="B42" s="57" t="n">
        <v>0</v>
      </c>
      <c r="C42" s="57" t="n">
        <v>0</v>
      </c>
      <c r="D42" s="57" t="n">
        <v>0</v>
      </c>
      <c r="E42" s="57" t="n">
        <v>0</v>
      </c>
      <c r="F42" s="57" t="n">
        <v>0</v>
      </c>
      <c r="G42" s="57" t="n">
        <v>0</v>
      </c>
      <c r="H42" s="57" t="n">
        <v>0</v>
      </c>
      <c r="I42" s="57" t="n">
        <v>0</v>
      </c>
      <c r="J42" s="57" t="n">
        <v>0</v>
      </c>
      <c r="K42" s="57" t="n">
        <v>0</v>
      </c>
    </row>
    <row r="43" hidden="1" ht="21.75" customHeight="1" thickBot="1">
      <c r="A43" s="8" t="n">
        <v>46204</v>
      </c>
      <c r="B43" s="57" t="n">
        <v>0</v>
      </c>
      <c r="C43" s="57" t="n">
        <v>0</v>
      </c>
      <c r="D43" s="57" t="n">
        <v>0</v>
      </c>
      <c r="E43" s="57" t="n">
        <v>0</v>
      </c>
      <c r="F43" s="57" t="n">
        <v>0</v>
      </c>
      <c r="G43" s="57" t="n">
        <v>0</v>
      </c>
      <c r="H43" s="57" t="n">
        <v>0</v>
      </c>
      <c r="I43" s="57" t="n">
        <v>0</v>
      </c>
      <c r="J43" s="57" t="n">
        <v>0</v>
      </c>
      <c r="K43" s="57" t="n">
        <v>0</v>
      </c>
    </row>
    <row r="44" ht="24.75" customHeight="1" thickBot="1" thickTop="1">
      <c r="A44" s="13" t="n"/>
      <c r="B44" s="14">
        <f>SUM(B10:B43)</f>
        <v/>
      </c>
      <c r="C44" s="14">
        <f>SUM(C10:C43)</f>
        <v/>
      </c>
      <c r="D44" s="14">
        <f>SUM(D10:D43)</f>
        <v/>
      </c>
      <c r="E44" s="14">
        <f>SUM(E10:E43)</f>
        <v/>
      </c>
      <c r="F44" s="14">
        <f>SUM(F10:F43)</f>
        <v/>
      </c>
      <c r="G44" s="14">
        <f>SUM(G10:G43)</f>
        <v/>
      </c>
      <c r="H44" s="14">
        <f>SUM(H10:H43)</f>
        <v/>
      </c>
      <c r="I44" s="14">
        <f>SUM(I10:I43)</f>
        <v/>
      </c>
      <c r="J44" s="14">
        <f>SUM(J10:J43)</f>
        <v/>
      </c>
      <c r="K44" s="14">
        <f>SUM(K10:K43)</f>
        <v/>
      </c>
      <c r="L44" s="46">
        <f>SUM(B44:K44)</f>
        <v/>
      </c>
    </row>
    <row r="45" ht="32.25" customHeight="1" thickTop="1">
      <c r="A45" s="25" t="n"/>
      <c r="B45" s="25" t="n"/>
      <c r="C45" s="25" t="n"/>
      <c r="D45" s="25" t="n"/>
      <c r="E45" s="25" t="n"/>
      <c r="F45" s="25" t="n"/>
      <c r="G45" s="25" t="n"/>
    </row>
    <row r="46" ht="18.75" customHeight="1">
      <c r="A46" s="25" t="n"/>
      <c r="E46" s="25" t="n"/>
      <c r="F46" s="25" t="n"/>
      <c r="G46" s="25" t="n"/>
    </row>
    <row r="47" ht="18.75" customHeight="1">
      <c r="A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row r="50" ht="18.75" customHeight="1">
      <c r="A50" s="25" t="n"/>
      <c r="B50" s="25" t="n"/>
      <c r="C50" s="25" t="n"/>
      <c r="D50" s="25" t="n"/>
      <c r="E50" s="25" t="n"/>
      <c r="F50" s="25" t="n"/>
      <c r="G50" s="25" t="n"/>
    </row>
    <row r="51" ht="18.75" customHeight="1">
      <c r="A51" s="25" t="n"/>
      <c r="B51" s="25" t="n"/>
      <c r="C51" s="25" t="n"/>
      <c r="D51" s="25" t="n"/>
      <c r="E51" s="25" t="n"/>
      <c r="F51" s="25" t="n"/>
      <c r="G51" s="25" t="n"/>
    </row>
    <row r="52" ht="18.75" customHeight="1">
      <c r="A52" s="25" t="n"/>
      <c r="B52" s="25" t="n"/>
      <c r="C52" s="25" t="n"/>
      <c r="D52" s="25" t="n"/>
      <c r="E52" s="25" t="n"/>
      <c r="F52" s="25" t="n"/>
      <c r="G52" s="25" t="n"/>
    </row>
  </sheetData>
  <mergeCells count="12">
    <mergeCell ref="A8:A9"/>
    <mergeCell ref="E8:E9"/>
    <mergeCell ref="C8:C9"/>
    <mergeCell ref="H8:H9"/>
    <mergeCell ref="F8:F9"/>
    <mergeCell ref="G8:G9"/>
    <mergeCell ref="J8:J9"/>
    <mergeCell ref="K8:K9"/>
    <mergeCell ref="I8:I9"/>
    <mergeCell ref="L9:N9"/>
    <mergeCell ref="D8:D9"/>
    <mergeCell ref="B8:B9"/>
  </mergeCells>
  <pageMargins left="0.75" right="0.75" top="1" bottom="1" header="0" footer="0"/>
  <pageSetup orientation="landscape" scale="80" verticalDpi="2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7:N51"/>
  <sheetViews>
    <sheetView topLeftCell="A22" zoomScale="70" zoomScaleNormal="70" workbookViewId="0">
      <pane xSplit="1" topLeftCell="B1" activePane="topRight" state="frozen"/>
      <selection pane="topRight" activeCell="K42" sqref="B10:K42"/>
    </sheetView>
  </sheetViews>
  <sheetFormatPr baseColWidth="10" defaultColWidth="11.42578125" defaultRowHeight="15"/>
  <cols>
    <col width="33.28515625" customWidth="1" style="1" min="1" max="1"/>
    <col width="14.5703125" customWidth="1" style="1" min="2" max="6"/>
    <col width="14.7109375" customWidth="1" style="1" min="7" max="13"/>
    <col width="13.28515625" customWidth="1" style="1" min="14" max="14"/>
    <col width="14.28515625" customWidth="1" style="1" min="15" max="15"/>
    <col width="11.42578125" customWidth="1" style="1" min="16" max="16384"/>
  </cols>
  <sheetData>
    <row r="1" ht="9.75" customHeight="1"/>
    <row r="2" ht="12" customHeight="1"/>
    <row r="7" ht="12.75" customHeight="1" thickBot="1">
      <c r="A7" s="25" t="n"/>
      <c r="B7" s="25" t="n"/>
      <c r="C7" s="25" t="n"/>
      <c r="D7" s="25" t="n"/>
      <c r="E7" s="25" t="n"/>
      <c r="F7" s="25" t="n"/>
      <c r="G7" s="25" t="n"/>
    </row>
    <row r="8" ht="19.5" customHeight="1" thickTop="1">
      <c r="A8" s="137" t="inlineStr">
        <is>
          <t xml:space="preserve">DÍA / planta </t>
        </is>
      </c>
      <c r="B8" s="137" t="inlineStr">
        <is>
          <t>CCM 01</t>
        </is>
      </c>
      <c r="C8" s="137" t="inlineStr">
        <is>
          <t>CCM 02</t>
        </is>
      </c>
      <c r="D8" s="137" t="inlineStr">
        <is>
          <t>CCM 03</t>
        </is>
      </c>
      <c r="E8" s="137" t="inlineStr">
        <is>
          <t>CCM 04</t>
        </is>
      </c>
      <c r="F8" s="137" t="inlineStr">
        <is>
          <t>CCM 05</t>
        </is>
      </c>
      <c r="G8" s="137" t="inlineStr">
        <is>
          <t>CCM 06</t>
        </is>
      </c>
      <c r="H8" s="137" t="inlineStr">
        <is>
          <t>CCM 07</t>
        </is>
      </c>
      <c r="I8" s="137" t="inlineStr">
        <is>
          <t>CCM 08</t>
        </is>
      </c>
      <c r="J8" s="137" t="inlineStr">
        <is>
          <t>PMV 02</t>
        </is>
      </c>
      <c r="K8" s="137" t="inlineStr">
        <is>
          <t>PMV 04</t>
        </is>
      </c>
    </row>
    <row r="9" ht="15.75" customHeight="1" thickBot="1">
      <c r="A9" s="138" t="n"/>
      <c r="B9" s="138" t="n"/>
      <c r="C9" s="138" t="n"/>
      <c r="D9" s="138" t="n"/>
      <c r="E9" s="138" t="n"/>
      <c r="F9" s="138" t="n"/>
      <c r="G9" s="138" t="n"/>
      <c r="H9" s="138" t="n"/>
      <c r="I9" s="138" t="n"/>
      <c r="J9" s="138" t="n"/>
      <c r="K9" s="138" t="n"/>
      <c r="L9" s="135" t="n"/>
    </row>
    <row r="10" ht="21.75" customHeight="1" thickTop="1">
      <c r="A10" s="8" t="n">
        <v>46171</v>
      </c>
      <c r="B10" s="57" t="n">
        <v>0</v>
      </c>
      <c r="C10" s="57" t="n">
        <v>0</v>
      </c>
      <c r="D10" s="57" t="n">
        <v>0</v>
      </c>
      <c r="E10" s="57" t="n">
        <v>0</v>
      </c>
      <c r="F10" s="57" t="n">
        <v>0</v>
      </c>
      <c r="G10" s="57" t="n">
        <v>0</v>
      </c>
      <c r="H10" s="57" t="n">
        <v>0</v>
      </c>
      <c r="I10" s="57" t="n">
        <v>0</v>
      </c>
      <c r="J10" s="57" t="n">
        <v>0</v>
      </c>
      <c r="K10" s="57" t="n">
        <v>0</v>
      </c>
    </row>
    <row r="11" ht="21" customHeight="1">
      <c r="A11" s="8" t="n">
        <v>46172</v>
      </c>
      <c r="B11" s="57" t="n">
        <v>0</v>
      </c>
      <c r="C11" s="57" t="n">
        <v>0</v>
      </c>
      <c r="D11" s="57" t="n">
        <v>0</v>
      </c>
      <c r="E11" s="57" t="n">
        <v>0</v>
      </c>
      <c r="F11" s="57" t="n">
        <v>0</v>
      </c>
      <c r="G11" s="57" t="n">
        <v>0</v>
      </c>
      <c r="H11" s="57" t="n">
        <v>0</v>
      </c>
      <c r="I11" s="57" t="n">
        <v>0</v>
      </c>
      <c r="J11" s="57" t="n">
        <v>0</v>
      </c>
      <c r="K11" s="57" t="n">
        <v>0</v>
      </c>
    </row>
    <row r="12" ht="21" customHeight="1">
      <c r="A12" s="8" t="n">
        <v>46173</v>
      </c>
      <c r="B12" s="57" t="n">
        <v>0</v>
      </c>
      <c r="C12" s="57" t="n">
        <v>0</v>
      </c>
      <c r="D12" s="57" t="n">
        <v>0</v>
      </c>
      <c r="E12" s="57" t="n">
        <v>0</v>
      </c>
      <c r="F12" s="57" t="n">
        <v>0</v>
      </c>
      <c r="G12" s="57" t="n">
        <v>0</v>
      </c>
      <c r="H12" s="57" t="n">
        <v>0</v>
      </c>
      <c r="I12" s="57" t="n">
        <v>0</v>
      </c>
      <c r="J12" s="57" t="n">
        <v>0</v>
      </c>
      <c r="K12" s="57" t="n">
        <v>0</v>
      </c>
    </row>
    <row r="13" ht="21" customHeight="1">
      <c r="A13" s="8" t="n">
        <v>46174</v>
      </c>
      <c r="B13" s="57" t="n">
        <v>0</v>
      </c>
      <c r="C13" s="57" t="n">
        <v>0</v>
      </c>
      <c r="D13" s="57" t="n">
        <v>0</v>
      </c>
      <c r="E13" s="57" t="n">
        <v>0</v>
      </c>
      <c r="F13" s="57" t="n">
        <v>0</v>
      </c>
      <c r="G13" s="57" t="n">
        <v>0</v>
      </c>
      <c r="H13" s="57" t="n">
        <v>0</v>
      </c>
      <c r="I13" s="57" t="n">
        <v>0</v>
      </c>
      <c r="J13" s="57" t="n">
        <v>0</v>
      </c>
      <c r="K13" s="57" t="n">
        <v>0</v>
      </c>
    </row>
    <row r="14" ht="21" customHeight="1">
      <c r="A14" s="8" t="n">
        <v>46175</v>
      </c>
      <c r="B14" s="57" t="n">
        <v>0</v>
      </c>
      <c r="C14" s="57" t="n">
        <v>0</v>
      </c>
      <c r="D14" s="57" t="n">
        <v>0</v>
      </c>
      <c r="E14" s="57" t="n">
        <v>0</v>
      </c>
      <c r="F14" s="57" t="n">
        <v>0</v>
      </c>
      <c r="G14" s="57" t="n">
        <v>0</v>
      </c>
      <c r="H14" s="57" t="n">
        <v>0</v>
      </c>
      <c r="I14" s="57" t="n">
        <v>0</v>
      </c>
      <c r="J14" s="57" t="n">
        <v>0</v>
      </c>
      <c r="K14" s="57" t="n">
        <v>0</v>
      </c>
    </row>
    <row r="15" ht="21" customHeight="1">
      <c r="A15" s="8" t="n">
        <v>46176</v>
      </c>
      <c r="B15" s="57" t="n">
        <v>0</v>
      </c>
      <c r="C15" s="57" t="n">
        <v>0</v>
      </c>
      <c r="D15" s="57" t="n">
        <v>0</v>
      </c>
      <c r="E15" s="57" t="n">
        <v>0</v>
      </c>
      <c r="F15" s="57" t="n">
        <v>0</v>
      </c>
      <c r="G15" s="57" t="n">
        <v>0</v>
      </c>
      <c r="H15" s="57" t="n">
        <v>0</v>
      </c>
      <c r="I15" s="57" t="n">
        <v>0</v>
      </c>
      <c r="J15" s="57" t="n">
        <v>0</v>
      </c>
      <c r="K15" s="57" t="n">
        <v>0</v>
      </c>
    </row>
    <row r="16" ht="21" customHeight="1">
      <c r="A16" s="8" t="n">
        <v>46177</v>
      </c>
      <c r="B16" s="57" t="n">
        <v>0</v>
      </c>
      <c r="C16" s="57" t="n">
        <v>0</v>
      </c>
      <c r="D16" s="57" t="n">
        <v>0</v>
      </c>
      <c r="E16" s="57" t="n">
        <v>0</v>
      </c>
      <c r="F16" s="57" t="n">
        <v>0</v>
      </c>
      <c r="G16" s="57" t="n">
        <v>0</v>
      </c>
      <c r="H16" s="57" t="n">
        <v>0</v>
      </c>
      <c r="I16" s="57" t="n">
        <v>0</v>
      </c>
      <c r="J16" s="57" t="n">
        <v>0</v>
      </c>
      <c r="K16" s="57" t="n">
        <v>0</v>
      </c>
    </row>
    <row r="17" ht="21" customHeight="1">
      <c r="A17" s="8" t="n">
        <v>46178</v>
      </c>
      <c r="B17" s="57" t="n">
        <v>0</v>
      </c>
      <c r="C17" s="57" t="n">
        <v>0</v>
      </c>
      <c r="D17" s="57" t="n">
        <v>0</v>
      </c>
      <c r="E17" s="57" t="n">
        <v>0</v>
      </c>
      <c r="F17" s="57" t="n">
        <v>0</v>
      </c>
      <c r="G17" s="57" t="n">
        <v>0</v>
      </c>
      <c r="H17" s="57" t="n">
        <v>0</v>
      </c>
      <c r="I17" s="57" t="n">
        <v>0</v>
      </c>
      <c r="J17" s="57" t="n">
        <v>0</v>
      </c>
      <c r="K17" s="57" t="n">
        <v>0</v>
      </c>
    </row>
    <row r="18" ht="21" customHeight="1">
      <c r="A18" s="8" t="n">
        <v>46179</v>
      </c>
      <c r="B18" s="57" t="n">
        <v>0</v>
      </c>
      <c r="C18" s="57" t="n">
        <v>0</v>
      </c>
      <c r="D18" s="57" t="n">
        <v>0</v>
      </c>
      <c r="E18" s="57" t="n">
        <v>0</v>
      </c>
      <c r="F18" s="57" t="n">
        <v>0</v>
      </c>
      <c r="G18" s="57" t="n">
        <v>0</v>
      </c>
      <c r="H18" s="57" t="n">
        <v>0</v>
      </c>
      <c r="I18" s="57" t="n">
        <v>0</v>
      </c>
      <c r="J18" s="57" t="n">
        <v>0</v>
      </c>
      <c r="K18" s="57" t="n">
        <v>0</v>
      </c>
    </row>
    <row r="19" ht="21" customHeight="1">
      <c r="A19" s="8" t="n">
        <v>46180</v>
      </c>
      <c r="B19" s="57" t="n">
        <v>0</v>
      </c>
      <c r="C19" s="57" t="n">
        <v>240</v>
      </c>
      <c r="D19" s="57" t="n">
        <v>0</v>
      </c>
      <c r="E19" s="57" t="n">
        <v>0</v>
      </c>
      <c r="F19" s="57" t="n">
        <v>0</v>
      </c>
      <c r="G19" s="57" t="n">
        <v>0</v>
      </c>
      <c r="H19" s="57" t="n">
        <v>0</v>
      </c>
      <c r="I19" s="57" t="n">
        <v>0</v>
      </c>
      <c r="J19" s="57" t="n">
        <v>0</v>
      </c>
      <c r="K19" s="57" t="n">
        <v>0</v>
      </c>
    </row>
    <row r="20" ht="21" customHeight="1">
      <c r="A20" s="8" t="n">
        <v>46181</v>
      </c>
      <c r="B20" s="57" t="n">
        <v>0</v>
      </c>
      <c r="C20" s="57" t="n">
        <v>1440</v>
      </c>
      <c r="D20" s="57" t="n">
        <v>0</v>
      </c>
      <c r="E20" s="57" t="n">
        <v>0</v>
      </c>
      <c r="F20" s="57" t="n">
        <v>0</v>
      </c>
      <c r="G20" s="57" t="n">
        <v>0</v>
      </c>
      <c r="H20" s="57" t="n">
        <v>0</v>
      </c>
      <c r="I20" s="57" t="n">
        <v>0</v>
      </c>
      <c r="J20" s="57" t="n">
        <v>0</v>
      </c>
      <c r="K20" s="57" t="n">
        <v>0</v>
      </c>
    </row>
    <row r="21" ht="21" customHeight="1">
      <c r="A21" s="8" t="n">
        <v>46182</v>
      </c>
      <c r="B21" s="57" t="n">
        <v>0</v>
      </c>
      <c r="C21" s="57" t="n">
        <v>225</v>
      </c>
      <c r="D21" s="57" t="n">
        <v>0</v>
      </c>
      <c r="E21" s="57" t="n">
        <v>0</v>
      </c>
      <c r="F21" s="57" t="n">
        <v>0</v>
      </c>
      <c r="G21" s="57" t="n">
        <v>0</v>
      </c>
      <c r="H21" s="57" t="n">
        <v>0</v>
      </c>
      <c r="I21" s="57" t="n">
        <v>0</v>
      </c>
      <c r="J21" s="57" t="n">
        <v>0</v>
      </c>
      <c r="K21" s="57" t="n">
        <v>0</v>
      </c>
    </row>
    <row r="22" ht="21" customHeight="1">
      <c r="A22" s="8" t="n">
        <v>46183</v>
      </c>
      <c r="B22" s="57" t="n">
        <v>0</v>
      </c>
      <c r="C22" s="57" t="n">
        <v>0</v>
      </c>
      <c r="D22" s="57" t="n">
        <v>0</v>
      </c>
      <c r="E22" s="57" t="n">
        <v>0</v>
      </c>
      <c r="F22" s="57" t="n">
        <v>0</v>
      </c>
      <c r="G22" s="57" t="n">
        <v>0</v>
      </c>
      <c r="H22" s="57" t="n">
        <v>0</v>
      </c>
      <c r="I22" s="57" t="n">
        <v>0</v>
      </c>
      <c r="J22" s="57" t="n">
        <v>0</v>
      </c>
      <c r="K22" s="57" t="n">
        <v>0</v>
      </c>
    </row>
    <row r="23" ht="21" customHeight="1">
      <c r="A23" s="8" t="n">
        <v>46184</v>
      </c>
      <c r="B23" s="57" t="n">
        <v>0</v>
      </c>
      <c r="C23" s="57" t="n">
        <v>0</v>
      </c>
      <c r="D23" s="57" t="n">
        <v>0</v>
      </c>
      <c r="E23" s="57" t="n">
        <v>0</v>
      </c>
      <c r="F23" s="57" t="n">
        <v>0</v>
      </c>
      <c r="G23" s="57" t="n">
        <v>0</v>
      </c>
      <c r="H23" s="57" t="n">
        <v>0</v>
      </c>
      <c r="I23" s="57" t="n">
        <v>0</v>
      </c>
      <c r="J23" s="57" t="n">
        <v>0</v>
      </c>
      <c r="K23" s="57" t="n">
        <v>0</v>
      </c>
    </row>
    <row r="24" ht="21" customHeight="1">
      <c r="A24" s="8" t="n">
        <v>46185</v>
      </c>
      <c r="B24" s="57" t="n">
        <v>0</v>
      </c>
      <c r="C24" s="57" t="n">
        <v>0</v>
      </c>
      <c r="D24" s="57" t="n">
        <v>0</v>
      </c>
      <c r="E24" s="57" t="n">
        <v>0</v>
      </c>
      <c r="F24" s="57" t="n">
        <v>0</v>
      </c>
      <c r="G24" s="57" t="n">
        <v>0</v>
      </c>
      <c r="H24" s="57" t="n">
        <v>0</v>
      </c>
      <c r="I24" s="57" t="n">
        <v>0</v>
      </c>
      <c r="J24" s="57" t="n">
        <v>0</v>
      </c>
      <c r="K24" s="57" t="n">
        <v>0</v>
      </c>
    </row>
    <row r="25" ht="21" customHeight="1">
      <c r="A25" s="8" t="n">
        <v>46186</v>
      </c>
      <c r="B25" s="57" t="n">
        <v>0</v>
      </c>
      <c r="C25" s="57" t="n">
        <v>0</v>
      </c>
      <c r="D25" s="57" t="n">
        <v>0</v>
      </c>
      <c r="E25" s="57" t="n">
        <v>0</v>
      </c>
      <c r="F25" s="57" t="n">
        <v>0</v>
      </c>
      <c r="G25" s="57" t="n">
        <v>0</v>
      </c>
      <c r="H25" s="57" t="n">
        <v>0</v>
      </c>
      <c r="I25" s="57" t="n">
        <v>0</v>
      </c>
      <c r="J25" s="57" t="n">
        <v>0</v>
      </c>
      <c r="K25" s="57" t="n">
        <v>0</v>
      </c>
    </row>
    <row r="26" ht="21" customHeight="1">
      <c r="A26" s="8" t="n">
        <v>46187</v>
      </c>
      <c r="B26" s="57" t="n">
        <v>0</v>
      </c>
      <c r="C26" s="57" t="n">
        <v>0</v>
      </c>
      <c r="D26" s="57" t="n">
        <v>0</v>
      </c>
      <c r="E26" s="57" t="n">
        <v>0</v>
      </c>
      <c r="F26" s="57" t="n">
        <v>0</v>
      </c>
      <c r="G26" s="57" t="n">
        <v>0</v>
      </c>
      <c r="H26" s="57" t="n">
        <v>0</v>
      </c>
      <c r="I26" s="57" t="n">
        <v>0</v>
      </c>
      <c r="J26" s="57" t="n">
        <v>0</v>
      </c>
      <c r="K26" s="57" t="n">
        <v>0</v>
      </c>
    </row>
    <row r="27" ht="21" customHeight="1">
      <c r="A27" s="8" t="n">
        <v>46188</v>
      </c>
      <c r="B27" s="57" t="n">
        <v>0</v>
      </c>
      <c r="C27" s="57" t="n">
        <v>0</v>
      </c>
      <c r="D27" s="57" t="n">
        <v>0</v>
      </c>
      <c r="E27" s="57" t="n">
        <v>0</v>
      </c>
      <c r="F27" s="57" t="n">
        <v>0</v>
      </c>
      <c r="G27" s="57" t="n">
        <v>0</v>
      </c>
      <c r="H27" s="57" t="n">
        <v>0</v>
      </c>
      <c r="I27" s="57" t="n">
        <v>0</v>
      </c>
      <c r="J27" s="57" t="n">
        <v>0</v>
      </c>
      <c r="K27" s="57" t="n">
        <v>0</v>
      </c>
    </row>
    <row r="28" ht="21" customHeight="1">
      <c r="A28" s="8" t="n">
        <v>46189</v>
      </c>
      <c r="B28" s="57" t="n">
        <v>0</v>
      </c>
      <c r="C28" s="57" t="n">
        <v>960</v>
      </c>
      <c r="D28" s="57" t="n">
        <v>0</v>
      </c>
      <c r="E28" s="57" t="n">
        <v>0</v>
      </c>
      <c r="F28" s="57" t="n">
        <v>0</v>
      </c>
      <c r="G28" s="57" t="n">
        <v>0</v>
      </c>
      <c r="H28" s="57" t="n">
        <v>0</v>
      </c>
      <c r="I28" s="57" t="n">
        <v>0</v>
      </c>
      <c r="J28" s="57" t="n">
        <v>0</v>
      </c>
      <c r="K28" s="57" t="n">
        <v>0</v>
      </c>
    </row>
    <row r="29" ht="21" customHeight="1">
      <c r="A29" s="8" t="n">
        <v>46190</v>
      </c>
      <c r="B29" s="57" t="n">
        <v>0</v>
      </c>
      <c r="C29" s="57" t="n">
        <v>0</v>
      </c>
      <c r="D29" s="57" t="n">
        <v>0</v>
      </c>
      <c r="E29" s="57" t="n">
        <v>0</v>
      </c>
      <c r="F29" s="57" t="n">
        <v>0</v>
      </c>
      <c r="G29" s="57" t="n">
        <v>0</v>
      </c>
      <c r="H29" s="57" t="n">
        <v>0</v>
      </c>
      <c r="I29" s="57" t="n">
        <v>0</v>
      </c>
      <c r="J29" s="57" t="n">
        <v>0</v>
      </c>
      <c r="K29" s="57" t="n">
        <v>0</v>
      </c>
    </row>
    <row r="30" ht="24" customHeight="1">
      <c r="A30" s="8" t="n">
        <v>46191</v>
      </c>
      <c r="B30" s="57" t="n">
        <v>0</v>
      </c>
      <c r="C30" s="57" t="n">
        <v>0</v>
      </c>
      <c r="D30" s="57" t="n">
        <v>0</v>
      </c>
      <c r="E30" s="57" t="n">
        <v>0</v>
      </c>
      <c r="F30" s="57" t="n">
        <v>0</v>
      </c>
      <c r="G30" s="57" t="n">
        <v>0</v>
      </c>
      <c r="H30" s="57" t="n">
        <v>0</v>
      </c>
      <c r="I30" s="57" t="n">
        <v>0</v>
      </c>
      <c r="J30" s="57" t="n">
        <v>0</v>
      </c>
      <c r="K30" s="57" t="n">
        <v>0</v>
      </c>
    </row>
    <row r="31" ht="20.25" customHeight="1">
      <c r="A31" s="8" t="n">
        <v>46192</v>
      </c>
      <c r="B31" s="57" t="n">
        <v>0</v>
      </c>
      <c r="C31" s="57" t="n">
        <v>0</v>
      </c>
      <c r="D31" s="57" t="n">
        <v>0</v>
      </c>
      <c r="E31" s="57" t="n">
        <v>0</v>
      </c>
      <c r="F31" s="57" t="n">
        <v>0</v>
      </c>
      <c r="G31" s="57" t="n">
        <v>0</v>
      </c>
      <c r="H31" s="57" t="n">
        <v>0</v>
      </c>
      <c r="I31" s="57" t="n">
        <v>0</v>
      </c>
      <c r="J31" s="57" t="n">
        <v>0</v>
      </c>
      <c r="K31" s="57" t="n">
        <v>0</v>
      </c>
    </row>
    <row r="32" ht="20.25" customHeight="1">
      <c r="A32" s="8" t="n">
        <v>46193</v>
      </c>
      <c r="B32" s="57" t="n">
        <v>0</v>
      </c>
      <c r="C32" s="57" t="n">
        <v>0</v>
      </c>
      <c r="D32" s="57" t="n">
        <v>0</v>
      </c>
      <c r="E32" s="57" t="n">
        <v>0</v>
      </c>
      <c r="F32" s="57" t="n">
        <v>0</v>
      </c>
      <c r="G32" s="57" t="n">
        <v>0</v>
      </c>
      <c r="H32" s="57" t="n">
        <v>0</v>
      </c>
      <c r="I32" s="57" t="n">
        <v>0</v>
      </c>
      <c r="J32" s="57" t="n">
        <v>0</v>
      </c>
      <c r="K32" s="57" t="n">
        <v>0</v>
      </c>
    </row>
    <row r="33" ht="20.25" customHeight="1">
      <c r="A33" s="8" t="n">
        <v>46194</v>
      </c>
      <c r="B33" s="57" t="n">
        <v>0</v>
      </c>
      <c r="C33" s="57" t="n">
        <v>0</v>
      </c>
      <c r="D33" s="57" t="n">
        <v>0</v>
      </c>
      <c r="E33" s="57" t="n">
        <v>0</v>
      </c>
      <c r="F33" s="57" t="n">
        <v>0</v>
      </c>
      <c r="G33" s="57" t="n">
        <v>0</v>
      </c>
      <c r="H33" s="57" t="n">
        <v>0</v>
      </c>
      <c r="I33" s="57" t="n">
        <v>0</v>
      </c>
      <c r="J33" s="57" t="n">
        <v>0</v>
      </c>
      <c r="K33" s="57" t="n">
        <v>0</v>
      </c>
    </row>
    <row r="34" ht="21" customHeight="1">
      <c r="A34" s="8" t="n">
        <v>46195</v>
      </c>
      <c r="B34" s="57" t="n">
        <v>0</v>
      </c>
      <c r="C34" s="57" t="n">
        <v>0</v>
      </c>
      <c r="D34" s="57" t="n">
        <v>0</v>
      </c>
      <c r="E34" s="57" t="n">
        <v>0</v>
      </c>
      <c r="F34" s="57" t="n">
        <v>0</v>
      </c>
      <c r="G34" s="57" t="n">
        <v>0</v>
      </c>
      <c r="H34" s="57" t="n">
        <v>0</v>
      </c>
      <c r="I34" s="57" t="n">
        <v>0</v>
      </c>
      <c r="J34" s="57" t="n">
        <v>0</v>
      </c>
      <c r="K34" s="57" t="n">
        <v>0</v>
      </c>
    </row>
    <row r="35" ht="21" customHeight="1">
      <c r="A35" s="8" t="n">
        <v>46196</v>
      </c>
      <c r="B35" s="57" t="n">
        <v>0</v>
      </c>
      <c r="C35" s="57" t="n">
        <v>450</v>
      </c>
      <c r="D35" s="57" t="n">
        <v>0</v>
      </c>
      <c r="E35" s="57" t="n">
        <v>0</v>
      </c>
      <c r="F35" s="57" t="n">
        <v>0</v>
      </c>
      <c r="G35" s="57" t="n">
        <v>0</v>
      </c>
      <c r="H35" s="57" t="n">
        <v>0</v>
      </c>
      <c r="I35" s="57" t="n">
        <v>0</v>
      </c>
      <c r="J35" s="57" t="n">
        <v>0</v>
      </c>
      <c r="K35" s="57" t="n">
        <v>0</v>
      </c>
    </row>
    <row r="36" ht="20.25" customHeight="1">
      <c r="A36" s="8" t="n">
        <v>46197</v>
      </c>
      <c r="B36" s="57" t="n">
        <v>0</v>
      </c>
      <c r="C36" s="57" t="n">
        <v>0</v>
      </c>
      <c r="D36" s="57" t="n">
        <v>0</v>
      </c>
      <c r="E36" s="57" t="n">
        <v>0</v>
      </c>
      <c r="F36" s="57" t="n">
        <v>0</v>
      </c>
      <c r="G36" s="57" t="n">
        <v>0</v>
      </c>
      <c r="H36" s="57" t="n">
        <v>0</v>
      </c>
      <c r="I36" s="57" t="n">
        <v>0</v>
      </c>
      <c r="J36" s="57" t="n">
        <v>0</v>
      </c>
      <c r="K36" s="57" t="n">
        <v>0</v>
      </c>
    </row>
    <row r="37" ht="21" customHeight="1">
      <c r="A37" s="8" t="n">
        <v>46198</v>
      </c>
      <c r="B37" s="57" t="n">
        <v>0</v>
      </c>
      <c r="C37" s="57" t="n">
        <v>0</v>
      </c>
      <c r="D37" s="57" t="n">
        <v>0</v>
      </c>
      <c r="E37" s="57" t="n">
        <v>0</v>
      </c>
      <c r="F37" s="57" t="n">
        <v>0</v>
      </c>
      <c r="G37" s="57" t="n">
        <v>0</v>
      </c>
      <c r="H37" s="57" t="n">
        <v>0</v>
      </c>
      <c r="I37" s="57" t="n">
        <v>0</v>
      </c>
      <c r="J37" s="57" t="n">
        <v>0</v>
      </c>
      <c r="K37" s="57" t="n">
        <v>0</v>
      </c>
    </row>
    <row r="38" ht="21" customHeight="1">
      <c r="A38" s="8" t="n">
        <v>46199</v>
      </c>
      <c r="B38" s="57" t="n">
        <v>0</v>
      </c>
      <c r="C38" s="57" t="n">
        <v>0</v>
      </c>
      <c r="D38" s="57" t="n">
        <v>0</v>
      </c>
      <c r="E38" s="57" t="n">
        <v>0</v>
      </c>
      <c r="F38" s="57" t="n">
        <v>0</v>
      </c>
      <c r="G38" s="57" t="n">
        <v>0</v>
      </c>
      <c r="H38" s="57" t="n">
        <v>0</v>
      </c>
      <c r="I38" s="57" t="n">
        <v>0</v>
      </c>
      <c r="J38" s="57" t="n">
        <v>0</v>
      </c>
      <c r="K38" s="57" t="n">
        <v>0</v>
      </c>
    </row>
    <row r="39" ht="21" customHeight="1">
      <c r="A39" s="8" t="n">
        <v>46200</v>
      </c>
      <c r="B39" s="57" t="n">
        <v>0</v>
      </c>
      <c r="C39" s="57" t="n">
        <v>0</v>
      </c>
      <c r="D39" s="57" t="n">
        <v>0</v>
      </c>
      <c r="E39" s="57" t="n">
        <v>0</v>
      </c>
      <c r="F39" s="57" t="n">
        <v>0</v>
      </c>
      <c r="G39" s="57" t="n">
        <v>0</v>
      </c>
      <c r="H39" s="57" t="n">
        <v>0</v>
      </c>
      <c r="I39" s="57" t="n">
        <v>0</v>
      </c>
      <c r="J39" s="57" t="n">
        <v>0</v>
      </c>
      <c r="K39" s="57" t="n">
        <v>0</v>
      </c>
    </row>
    <row r="40" ht="21" customHeight="1">
      <c r="A40" s="8" t="n">
        <v>46201</v>
      </c>
      <c r="B40" s="57" t="n">
        <v>0</v>
      </c>
      <c r="C40" s="57" t="n">
        <v>0</v>
      </c>
      <c r="D40" s="57" t="n">
        <v>0</v>
      </c>
      <c r="E40" s="57" t="n">
        <v>0</v>
      </c>
      <c r="F40" s="57" t="n">
        <v>0</v>
      </c>
      <c r="G40" s="57" t="n">
        <v>0</v>
      </c>
      <c r="H40" s="57" t="n">
        <v>0</v>
      </c>
      <c r="I40" s="57" t="n">
        <v>0</v>
      </c>
      <c r="J40" s="57" t="n">
        <v>0</v>
      </c>
      <c r="K40" s="57" t="n">
        <v>0</v>
      </c>
    </row>
    <row r="41" ht="21" customHeight="1">
      <c r="A41" s="8" t="n">
        <v>46202</v>
      </c>
      <c r="B41" s="57" t="n">
        <v>0</v>
      </c>
      <c r="C41" s="57" t="n">
        <v>0</v>
      </c>
      <c r="D41" s="57" t="n">
        <v>0</v>
      </c>
      <c r="E41" s="57" t="n">
        <v>0</v>
      </c>
      <c r="F41" s="57" t="n">
        <v>0</v>
      </c>
      <c r="G41" s="57" t="n">
        <v>0</v>
      </c>
      <c r="H41" s="57" t="n">
        <v>0</v>
      </c>
      <c r="I41" s="57" t="n">
        <v>0</v>
      </c>
      <c r="J41" s="57" t="n">
        <v>0</v>
      </c>
      <c r="K41" s="57" t="n">
        <v>0</v>
      </c>
    </row>
    <row r="42" ht="21.75" customHeight="1" thickBot="1">
      <c r="A42" s="8" t="n">
        <v>46203</v>
      </c>
      <c r="B42" s="57" t="n">
        <v>0</v>
      </c>
      <c r="C42" s="57" t="n">
        <v>0</v>
      </c>
      <c r="D42" s="57" t="n">
        <v>0</v>
      </c>
      <c r="E42" s="57" t="n">
        <v>0</v>
      </c>
      <c r="F42" s="57" t="n">
        <v>0</v>
      </c>
      <c r="G42" s="57" t="n">
        <v>0</v>
      </c>
      <c r="H42" s="57" t="n">
        <v>0</v>
      </c>
      <c r="I42" s="57" t="n">
        <v>0</v>
      </c>
      <c r="J42" s="57" t="n">
        <v>0</v>
      </c>
      <c r="K42" s="57" t="n">
        <v>0</v>
      </c>
    </row>
    <row r="43" ht="24.75" customHeight="1" thickBot="1" thickTop="1">
      <c r="A43" s="13" t="n"/>
      <c r="B43" s="14">
        <f>SUM(B10:B42)</f>
        <v/>
      </c>
      <c r="C43" s="14">
        <f>SUM(C10:C42)</f>
        <v/>
      </c>
      <c r="D43" s="14">
        <f>SUM(D10:D42)</f>
        <v/>
      </c>
      <c r="E43" s="14">
        <f>SUM(E10:E42)</f>
        <v/>
      </c>
      <c r="F43" s="14">
        <f>SUM(F10:F42)</f>
        <v/>
      </c>
      <c r="G43" s="14">
        <f>SUM(G10:G42)</f>
        <v/>
      </c>
      <c r="H43" s="14">
        <f>SUM(H10:H42)</f>
        <v/>
      </c>
      <c r="I43" s="14">
        <f>SUM(I10:I42)</f>
        <v/>
      </c>
      <c r="J43" s="14">
        <f>SUM(J10:J42)</f>
        <v/>
      </c>
      <c r="K43" s="14">
        <f>SUM(K10:K42)</f>
        <v/>
      </c>
      <c r="L43" s="53">
        <f>SUM(B43:K43)</f>
        <v/>
      </c>
    </row>
    <row r="44" ht="19.5" customHeight="1" thickTop="1">
      <c r="A44" s="25" t="n"/>
      <c r="B44" s="25" t="n"/>
      <c r="C44" s="25" t="n"/>
      <c r="D44" s="25" t="n"/>
      <c r="E44" s="25" t="n"/>
      <c r="F44" s="25" t="n"/>
      <c r="G44" s="25" t="n"/>
    </row>
    <row r="45" ht="18.75" customHeight="1">
      <c r="A45" s="25" t="n"/>
      <c r="E45" s="25" t="n"/>
      <c r="F45" s="25" t="n"/>
      <c r="G45" s="25" t="n"/>
    </row>
    <row r="46" ht="18.75" customHeight="1">
      <c r="A46" s="25" t="n"/>
      <c r="E46" s="25" t="n"/>
      <c r="F46" s="25" t="n"/>
      <c r="G46" s="25" t="n"/>
    </row>
    <row r="47" ht="18.75" customHeight="1">
      <c r="A47" s="25" t="n"/>
      <c r="B47" s="25" t="n"/>
      <c r="C47" s="25" t="n"/>
      <c r="D47" s="25" t="n"/>
      <c r="E47" s="25" t="n"/>
      <c r="F47" s="25" t="n"/>
      <c r="G47" s="25" t="n"/>
    </row>
    <row r="48" ht="18.75" customHeight="1">
      <c r="A48" s="25" t="n"/>
      <c r="B48" s="25" t="n"/>
      <c r="C48" s="25" t="n"/>
      <c r="D48" s="25" t="n"/>
      <c r="E48" s="25" t="n"/>
      <c r="F48" s="25" t="n"/>
      <c r="G48" s="25" t="n"/>
    </row>
    <row r="49" ht="18.75" customHeight="1">
      <c r="A49" s="25" t="n"/>
      <c r="B49" s="25" t="n"/>
      <c r="C49" s="25" t="n"/>
      <c r="D49" s="25" t="n"/>
      <c r="E49" s="25" t="n"/>
      <c r="F49" s="25" t="n"/>
      <c r="G49" s="25" t="n"/>
    </row>
    <row r="50" ht="18.75" customHeight="1">
      <c r="A50" s="25" t="n"/>
      <c r="B50" s="25" t="n"/>
      <c r="C50" s="25" t="n"/>
      <c r="D50" s="25" t="n"/>
      <c r="E50" s="25" t="n"/>
      <c r="F50" s="25" t="n"/>
      <c r="G50" s="25" t="n"/>
    </row>
    <row r="51" ht="18.75" customHeight="1">
      <c r="A51" s="25" t="n"/>
      <c r="B51" s="25" t="n"/>
      <c r="C51" s="25" t="n"/>
      <c r="D51" s="25" t="n"/>
      <c r="E51" s="25" t="n"/>
      <c r="F51" s="25" t="n"/>
      <c r="G51" s="25" t="n"/>
    </row>
  </sheetData>
  <mergeCells count="12">
    <mergeCell ref="A8:A9"/>
    <mergeCell ref="E8:E9"/>
    <mergeCell ref="C8:C9"/>
    <mergeCell ref="H8:H9"/>
    <mergeCell ref="F8:F9"/>
    <mergeCell ref="G8:G9"/>
    <mergeCell ref="J8:J9"/>
    <mergeCell ref="K8:K9"/>
    <mergeCell ref="I8:I9"/>
    <mergeCell ref="L9:N9"/>
    <mergeCell ref="D8:D9"/>
    <mergeCell ref="B8:B9"/>
  </mergeCells>
  <pageMargins left="0.75" right="0.75" top="1" bottom="1" header="0" footer="0"/>
  <pageSetup orientation="landscape" scale="80" verticalDpi="2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7:G22"/>
  <sheetViews>
    <sheetView zoomScale="80" zoomScaleNormal="80" workbookViewId="0">
      <selection activeCell="A8" sqref="A8:E11"/>
    </sheetView>
  </sheetViews>
  <sheetFormatPr baseColWidth="10" defaultColWidth="11.42578125" defaultRowHeight="15"/>
  <cols>
    <col width="15.5703125" customWidth="1" style="4" min="1" max="1"/>
    <col width="68.42578125" customWidth="1" style="4" min="2" max="2"/>
    <col width="76.7109375" customWidth="1" style="4" min="3" max="3"/>
    <col width="22.42578125" customWidth="1" style="4" min="4" max="4"/>
    <col width="11.42578125" customWidth="1" style="4" min="5" max="5"/>
    <col width="1.85546875" customWidth="1" style="4" min="6" max="6"/>
    <col width="32.42578125" bestFit="1" customWidth="1" style="4" min="7" max="7"/>
    <col width="11.42578125" customWidth="1" style="4" min="8" max="16384"/>
  </cols>
  <sheetData>
    <row r="6" ht="15.75" customHeight="1" thickBot="1"/>
    <row r="7" ht="33" customHeight="1" thickBot="1" thickTop="1">
      <c r="A7" s="42" t="inlineStr">
        <is>
          <t>Falla No</t>
        </is>
      </c>
      <c r="B7" s="43" t="inlineStr">
        <is>
          <t>DESCRIPCIÓN PARADA</t>
        </is>
      </c>
      <c r="C7" s="43" t="inlineStr">
        <is>
          <t xml:space="preserve">TRABAJO REALIZADO </t>
        </is>
      </c>
      <c r="D7" s="43" t="inlineStr">
        <is>
          <t>TIEMPO PERDIDO (MIN)</t>
        </is>
      </c>
      <c r="E7" s="42" t="inlineStr">
        <is>
          <t>N° Eventos</t>
        </is>
      </c>
      <c r="G7" s="32" t="n"/>
    </row>
    <row r="8" ht="15.75" customHeight="1" thickTop="1">
      <c r="A8" s="106" t="n">
        <v>1</v>
      </c>
      <c r="B8" s="59" t="inlineStr">
        <is>
          <t>Falla FSM de Sincronismo</t>
        </is>
      </c>
      <c r="C8" s="97" t="inlineStr">
        <is>
          <t>Se Desmonta Encoder Carrussel de Corte, Se realiza Mantenimiento, Se Instala y se Sincroniza OK.</t>
        </is>
      </c>
      <c r="D8" s="121" t="n">
        <v>310</v>
      </c>
      <c r="E8" s="105" t="n">
        <v>1</v>
      </c>
    </row>
    <row r="9" ht="15.75" customHeight="1">
      <c r="A9" s="106" t="n">
        <v>2</v>
      </c>
      <c r="B9" s="59" t="inlineStr">
        <is>
          <t>Falta de dosis, revision carrusel de insercion</t>
        </is>
      </c>
      <c r="C9" s="97" t="inlineStr">
        <is>
          <t>Revision precarga de carrusel de insercion, ajuste y calibracion de cuchillas. Cambio esparrago de termoregulador de la puerta lado operador</t>
        </is>
      </c>
      <c r="D9" s="121" t="n">
        <v>300</v>
      </c>
      <c r="E9" s="105" t="n">
        <v>1</v>
      </c>
    </row>
    <row r="10" ht="15.75" customHeight="1">
      <c r="A10" s="106" t="n">
        <v>3</v>
      </c>
      <c r="B10" s="59" t="inlineStr">
        <is>
          <t>Revision fuga material tornillo estrusor</t>
        </is>
      </c>
      <c r="C10" s="97" t="inlineStr">
        <is>
          <t>Se realiza separacion de cañon con bridas de la bomba de la estrusora, posteriormente se realiza limpieza de material plastico que fugó, se cambia una terminal de bronce porque estaba dañada, se ensambla todo y se realiza seguimiento, no presenta mas fuga</t>
        </is>
      </c>
      <c r="D10" s="121" t="n">
        <v>240</v>
      </c>
      <c r="E10" s="105" t="n">
        <v>1</v>
      </c>
    </row>
    <row r="11" ht="15.75" customHeight="1">
      <c r="A11" s="106" t="n">
        <v>4</v>
      </c>
      <c r="B11" s="59" t="inlineStr">
        <is>
          <t>Revision motor centralita.</t>
        </is>
      </c>
      <c r="C11" s="97" t="inlineStr">
        <is>
          <t>se realiza revision y se cambia filtro de aceite motor queda consumiento 4,5 amp ok</t>
        </is>
      </c>
      <c r="D11" s="121" t="n">
        <v>225</v>
      </c>
      <c r="E11" s="105" t="n">
        <v>1</v>
      </c>
    </row>
    <row r="12" ht="15.75" customHeight="1">
      <c r="A12" s="106" t="n">
        <v>5</v>
      </c>
      <c r="B12" s="59" t="inlineStr">
        <is>
          <t>Revision pantalla CVS - No prende</t>
        </is>
      </c>
      <c r="C12" s="97" t="inlineStr">
        <is>
          <t>Se instala monitor. Queda funcionando</t>
        </is>
      </c>
      <c r="D12" s="121" t="n">
        <v>120</v>
      </c>
      <c r="E12" s="105" t="n">
        <v>1</v>
      </c>
    </row>
    <row r="13" ht="15.75" customHeight="1">
      <c r="A13" s="106" t="n">
        <v>6</v>
      </c>
      <c r="B13" s="59" t="inlineStr">
        <is>
          <t>Revision calbibracion de cuchillas</t>
        </is>
      </c>
      <c r="C13" s="97" t="inlineStr">
        <is>
          <t>Se recalibran las ocho cuchillas se cambia dos tornillos, se sugiere cambiar todos los tornillos para mejor ajuste a la cuchilla</t>
        </is>
      </c>
      <c r="D13" s="121" t="n">
        <v>25</v>
      </c>
      <c r="E13" s="105" t="n">
        <v>1</v>
      </c>
    </row>
    <row r="14" ht="15.75" customHeight="1">
      <c r="A14" s="106" t="n">
        <v>7</v>
      </c>
      <c r="B14" s="59" t="inlineStr">
        <is>
          <t>Revisar alarma SP19</t>
        </is>
      </c>
      <c r="C14" s="97" t="inlineStr">
        <is>
          <t>Se realiza desmontaje de filtro zona cavidades y se evidencia limpio, se ajusta flujometro</t>
        </is>
      </c>
      <c r="D14" s="121" t="n">
        <v>20</v>
      </c>
      <c r="E14" s="105" t="n">
        <v>1</v>
      </c>
    </row>
    <row r="15">
      <c r="A15" s="63" t="n"/>
      <c r="B15" s="59" t="n"/>
      <c r="C15" s="60" t="n"/>
      <c r="D15" s="61" t="n"/>
      <c r="E15" s="62" t="n"/>
    </row>
    <row r="16">
      <c r="A16" s="63" t="n"/>
      <c r="B16" s="64" t="n"/>
      <c r="C16" s="64" t="n"/>
      <c r="D16" s="65" t="n"/>
      <c r="E16" s="66" t="n"/>
    </row>
    <row r="17">
      <c r="A17" s="63" t="n"/>
      <c r="B17" s="59" t="n"/>
      <c r="C17" s="60" t="n"/>
      <c r="D17" s="61" t="n"/>
      <c r="E17" s="63" t="n"/>
    </row>
    <row r="18">
      <c r="A18" s="63" t="n"/>
      <c r="B18" s="59" t="n"/>
      <c r="C18" s="60" t="n"/>
      <c r="D18" s="61" t="n"/>
      <c r="E18" s="63" t="n"/>
    </row>
    <row r="19">
      <c r="A19" s="67" t="n"/>
      <c r="B19" s="68" t="n"/>
      <c r="C19" s="69" t="n"/>
      <c r="D19" s="70" t="n"/>
      <c r="E19" s="67" t="n"/>
    </row>
    <row r="20">
      <c r="A20" s="67" t="n"/>
      <c r="B20" s="68" t="n"/>
      <c r="C20" s="69" t="n"/>
      <c r="D20" s="70" t="n"/>
      <c r="E20" s="67" t="n"/>
    </row>
    <row r="21" ht="16.5" customHeight="1" thickBot="1">
      <c r="A21" s="39" t="n"/>
      <c r="B21" s="39" t="n"/>
      <c r="C21" s="39" t="n"/>
      <c r="D21" s="39" t="n"/>
      <c r="E21" s="39" t="n"/>
    </row>
    <row r="22" ht="17.25" customHeight="1" thickBot="1" thickTop="1">
      <c r="A22" s="39" t="n"/>
      <c r="B22" s="40" t="n"/>
      <c r="C22" s="40" t="n"/>
      <c r="D22" s="41">
        <f>SUM(D8:D14)</f>
        <v/>
      </c>
      <c r="E22" s="39" t="n"/>
    </row>
    <row r="23" ht="15.75" customHeight="1" thickTop="1"/>
  </sheetData>
  <autoFilter ref="B7:D19">
    <sortState ref="B8:D20">
      <sortCondition descending="1" ref="D7:D20"/>
    </sortState>
  </autoFilter>
  <conditionalFormatting sqref="B8:B15">
    <cfRule type="expression" priority="1" dxfId="0" stopIfTrue="1">
      <formula>IF(XFC8=$F$1610,B8)</formula>
    </cfRule>
  </conditionalFormatting>
  <conditionalFormatting sqref="B17:B18">
    <cfRule type="expression" priority="188" dxfId="0" stopIfTrue="1">
      <formula>IF(XFC17=$F$1610,B17)</formula>
    </cfRule>
  </conditionalFormatting>
  <conditionalFormatting sqref="D8:D15">
    <cfRule type="expression" priority="2" dxfId="0" stopIfTrue="1">
      <formula>IF(XFC8=$F$1610,D8)</formula>
    </cfRule>
  </conditionalFormatting>
  <conditionalFormatting sqref="D17:D18">
    <cfRule type="expression" priority="187" dxfId="0" stopIfTrue="1">
      <formula>IF(XFC17=$F$1610,D17)</formula>
    </cfRule>
  </conditionalFormatting>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E28"/>
  <sheetViews>
    <sheetView zoomScale="80" zoomScaleNormal="80" workbookViewId="0">
      <selection activeCell="D8" sqref="A8:D9"/>
    </sheetView>
  </sheetViews>
  <sheetFormatPr baseColWidth="10" defaultColWidth="11.42578125" defaultRowHeight="15"/>
  <cols>
    <col width="13.42578125" customWidth="1" style="4" min="1" max="1"/>
    <col width="73.42578125" customWidth="1" style="4" min="2" max="2"/>
    <col width="73.7109375" customWidth="1" style="4" min="3" max="3"/>
    <col width="22.42578125" customWidth="1" style="4" min="4" max="4"/>
    <col width="11.42578125" customWidth="1" style="4" min="5" max="16384"/>
  </cols>
  <sheetData>
    <row r="1">
      <c r="A1" s="4" t="inlineStr">
        <is>
          <t>c</t>
        </is>
      </c>
    </row>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58" t="n">
        <v>1</v>
      </c>
      <c r="B8" s="71" t="inlineStr">
        <is>
          <t>Parada por alarma BQ8 en la FSM</t>
        </is>
      </c>
      <c r="C8" s="71" t="inlineStr">
        <is>
          <t>Se cambia acople araña del servomotor superior del carrusel de corte, se prueban encoder´s reparados y uno de ellos funciona y la maquina trabaja de 11 a 13:40 pero pierde el sincronismo y para volver a  arrancar la maquina toca sincronizar. al final se monta encoder nuevo que llego
Se realiza sincronismo en FSM con la galgas y la maquina inicia ok</t>
        </is>
      </c>
      <c r="D8" s="109" t="n">
        <v>1107</v>
      </c>
      <c r="E8" s="108" t="n">
        <v>2</v>
      </c>
    </row>
    <row r="9" ht="15.75" customHeight="1">
      <c r="A9" s="58" t="n">
        <v>2</v>
      </c>
      <c r="B9" s="71" t="inlineStr">
        <is>
          <t>Falla por sincronizacion en la fsm</t>
        </is>
      </c>
      <c r="C9" s="71" t="inlineStr"/>
      <c r="D9" s="109" t="n">
        <v>645</v>
      </c>
      <c r="E9" s="108" t="n">
        <v>1</v>
      </c>
    </row>
    <row r="10" ht="15.75" customHeight="1">
      <c r="A10" s="58" t="n">
        <v>3</v>
      </c>
      <c r="B10" s="71" t="inlineStr">
        <is>
          <t>revision cavida 15 por fuga aceite, revision carrusel de insercion |por tapa doblada</t>
        </is>
      </c>
      <c r="C10" s="71" t="inlineStr">
        <is>
          <t>Se realiza desmonte de cavidad y expulsor ademas se desmonta el punzon para realizar las respectivad calibraciones .Se sincoroniza la salida de la tapa de la termocompresora y la cfm con apoyo de Jhon Alexander Cacais</t>
        </is>
      </c>
      <c r="D10" s="109" t="n">
        <v>470</v>
      </c>
      <c r="E10" s="108" t="n">
        <v>1</v>
      </c>
    </row>
    <row r="11" ht="15.75" customHeight="1">
      <c r="A11" s="58" t="n">
        <v>4</v>
      </c>
      <c r="B11" s="71" t="inlineStr">
        <is>
          <t>Revivion de carrusel de insercion alarma SQ18</t>
        </is>
      </c>
      <c r="C11" s="71" t="inlineStr">
        <is>
          <t>Se realiza cambio de correas de transmision de carrusel de formado y carrusel de insercion</t>
        </is>
      </c>
      <c r="D11" s="109" t="n">
        <v>415</v>
      </c>
      <c r="E11" s="108" t="n">
        <v>1</v>
      </c>
    </row>
    <row r="12" ht="15.75" customHeight="1">
      <c r="A12" s="58" t="n">
        <v>5</v>
      </c>
      <c r="B12" s="71" t="inlineStr">
        <is>
          <t>tapa golpeada, error sincronizacion</t>
        </is>
      </c>
      <c r="C12" s="71" t="inlineStr">
        <is>
          <t>Se Desmonta Encoder Carrussel de Corte, Se realiza Mantenimiento, Se Instala y se Sincroniza OK.</t>
        </is>
      </c>
      <c r="D12" s="109" t="n">
        <v>395</v>
      </c>
      <c r="E12" s="108" t="n">
        <v>1</v>
      </c>
    </row>
    <row r="13" ht="15.75" customHeight="1">
      <c r="A13" s="58" t="n">
        <v>6</v>
      </c>
      <c r="B13" s="71" t="inlineStr">
        <is>
          <t>Entortamiento carrusel de insercion.</t>
        </is>
      </c>
      <c r="C13" s="71" t="inlineStr">
        <is>
          <t>Se saca carrusel de insercion, algunas guardas y soportes pára poder cortar y sacar la torta</t>
        </is>
      </c>
      <c r="D13" s="109" t="n">
        <v>330</v>
      </c>
      <c r="E13" s="108" t="n">
        <v>1</v>
      </c>
    </row>
    <row r="14" ht="15.75" customHeight="1">
      <c r="A14" s="58" t="n">
        <v>7</v>
      </c>
      <c r="B14" s="71" t="inlineStr">
        <is>
          <t>Revisicion cavidad #15 por falla en la inspeccion del palley</t>
        </is>
      </c>
      <c r="C14" s="71" t="inlineStr">
        <is>
          <t>Se baja actuador #15, se encuentra buje bronce suelto, se aplica pegante roscas y se aprieta buje, se centra cavidad. Apoyo supervisor de produccion</t>
        </is>
      </c>
      <c r="D14" s="109" t="n">
        <v>240</v>
      </c>
      <c r="E14" s="108" t="n">
        <v>1</v>
      </c>
    </row>
    <row r="15" ht="15.75" customHeight="1">
      <c r="A15" s="58" t="n">
        <v>8</v>
      </c>
      <c r="B15" s="71" t="inlineStr">
        <is>
          <t>Revision zonas boquilla y cuerpo casquilo se suben de temperatura por encima del set poin.</t>
        </is>
      </c>
      <c r="C15" s="71" t="inlineStr">
        <is>
          <t>se realiza ajuste de conexiones del cableado de las termocuplas de esas zonas y se verifica que no este directo ningun SSR.</t>
        </is>
      </c>
      <c r="D15" s="109" t="n">
        <v>160</v>
      </c>
      <c r="E15" s="108" t="n">
        <v>1</v>
      </c>
    </row>
    <row r="16" ht="15.75" customHeight="1">
      <c r="A16" s="58" t="n">
        <v>9</v>
      </c>
      <c r="B16" s="71" t="inlineStr">
        <is>
          <t>punzon # 4 por concavidad fuera de norma</t>
        </is>
      </c>
      <c r="C16" s="71" t="inlineStr">
        <is>
          <t>se cambia regulador de aire punzon</t>
        </is>
      </c>
      <c r="D16" s="109" t="n">
        <v>70</v>
      </c>
      <c r="E16" s="108" t="n">
        <v>1</v>
      </c>
    </row>
    <row r="17" ht="15.75" customHeight="1">
      <c r="A17" s="58" t="n">
        <v>10</v>
      </c>
      <c r="B17" s="71" t="inlineStr">
        <is>
          <t>Revision y cambio punzones posicion # 12 y # 16 presenta rechupe</t>
        </is>
      </c>
      <c r="C17" s="71" t="inlineStr">
        <is>
          <t>Se realiza cambio de punzones de la posicion # 12  se deja elpunzon # 34 de respuesto y en la posicion # 16 se coloca el punzon de repuesto # 33.</t>
        </is>
      </c>
      <c r="D17" s="109" t="n">
        <v>70</v>
      </c>
      <c r="E17" s="108" t="n">
        <v>1</v>
      </c>
    </row>
    <row r="18">
      <c r="A18" s="74" t="n"/>
      <c r="B18" s="71" t="n"/>
      <c r="C18" s="71" t="n"/>
      <c r="D18" s="72" t="n"/>
      <c r="E18" s="73" t="n"/>
    </row>
    <row r="19">
      <c r="A19" s="74" t="n"/>
      <c r="B19" s="71" t="n"/>
      <c r="C19" s="71" t="n"/>
      <c r="D19" s="72" t="n"/>
      <c r="E19" s="73" t="n"/>
    </row>
    <row r="20">
      <c r="A20" s="74" t="n"/>
      <c r="B20" s="71" t="n"/>
      <c r="C20" s="71" t="n"/>
      <c r="D20" s="72" t="n"/>
      <c r="E20" s="73" t="n"/>
    </row>
    <row r="21">
      <c r="A21" s="74" t="n"/>
      <c r="B21" s="71" t="n"/>
      <c r="C21" s="71" t="n"/>
      <c r="D21" s="72" t="n"/>
      <c r="E21" s="73" t="n"/>
    </row>
    <row r="22" ht="15.75" customHeight="1" thickBot="1"/>
    <row r="23" ht="18.75" customHeight="1" thickBot="1" thickTop="1">
      <c r="B23" s="6" t="n"/>
      <c r="C23" s="6" t="n"/>
      <c r="D23" s="7">
        <f>SUM(D8:D17)</f>
        <v/>
      </c>
    </row>
    <row r="24" ht="15.75" customHeight="1" thickTop="1"/>
    <row r="28">
      <c r="B28" s="33" t="n"/>
    </row>
  </sheetData>
  <autoFilter ref="B7:D21"/>
  <pageMargins left="0.75" right="0.75" top="1" bottom="1" header="0" footer="0"/>
  <pageSetup orientation="portrait"/>
</worksheet>
</file>

<file path=xl/worksheets/sheet7.xml><?xml version="1.0" encoding="utf-8"?>
<worksheet xmlns="http://schemas.openxmlformats.org/spreadsheetml/2006/main">
  <sheetPr>
    <outlinePr summaryBelow="1" summaryRight="1"/>
    <pageSetUpPr/>
  </sheetPr>
  <dimension ref="A7:F25"/>
  <sheetViews>
    <sheetView zoomScale="80" zoomScaleNormal="80" workbookViewId="0">
      <selection activeCell="D8" sqref="A8:D11"/>
    </sheetView>
  </sheetViews>
  <sheetFormatPr baseColWidth="10" defaultColWidth="11.42578125" defaultRowHeight="15"/>
  <cols>
    <col width="13.42578125" customWidth="1" style="4" min="1" max="1"/>
    <col width="50.28515625" customWidth="1" style="4" min="2" max="2"/>
    <col width="84.7109375" customWidth="1" style="4" min="3" max="3"/>
    <col width="22.42578125" customWidth="1" style="4" min="4" max="4"/>
    <col width="11.42578125" customWidth="1" style="4" min="5" max="16384"/>
  </cols>
  <sheetData>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75" t="n">
        <v>1</v>
      </c>
      <c r="B8" s="65" t="inlineStr">
        <is>
          <t>alarma BQ8 encoder</t>
        </is>
      </c>
      <c r="C8" s="71" t="inlineStr"/>
      <c r="D8" s="109" t="n">
        <v>480</v>
      </c>
      <c r="E8" s="108" t="n">
        <v>1</v>
      </c>
    </row>
    <row r="9" ht="15.75" customHeight="1">
      <c r="A9" s="75" t="n">
        <v>2</v>
      </c>
      <c r="B9" s="65" t="inlineStr">
        <is>
          <t>Cambiar encoder carrusel en la FSM 3 Por que se paso para habilitar la FMS 5 CCM5</t>
        </is>
      </c>
      <c r="C9" s="71" t="inlineStr">
        <is>
          <t>Se realiza limpieza interna de encoder se verican contactos internos del conector encoder se sincroniza y se habilita.</t>
        </is>
      </c>
      <c r="D9" s="109" t="n">
        <v>450</v>
      </c>
      <c r="E9" s="108" t="n">
        <v>1</v>
      </c>
    </row>
    <row r="10" ht="15.75" customHeight="1">
      <c r="A10" s="75" t="n">
        <v>3</v>
      </c>
      <c r="B10" s="65" t="inlineStr">
        <is>
          <t>Bajar Encoder  Carrusel de Corte en la FSM 3</t>
        </is>
      </c>
      <c r="C10" s="71" t="inlineStr"/>
      <c r="D10" s="109" t="n">
        <v>240</v>
      </c>
      <c r="E10" s="108" t="n">
        <v>1</v>
      </c>
    </row>
    <row r="11" ht="15.75" customHeight="1">
      <c r="A11" s="75" t="n">
        <v>4</v>
      </c>
      <c r="B11" s="65" t="inlineStr">
        <is>
          <t>Temperatura alta en la zona de la bomba y fuga de agua cavidad 14.</t>
        </is>
      </c>
      <c r="C11" s="71" t="inlineStr"/>
      <c r="D11" s="109" t="n">
        <v>210</v>
      </c>
      <c r="E11" s="108" t="n">
        <v>1</v>
      </c>
    </row>
    <row r="12" ht="15.75" customHeight="1">
      <c r="A12" s="75" t="n">
        <v>5</v>
      </c>
      <c r="B12" s="65" t="inlineStr">
        <is>
          <t>Alarma SP20</t>
        </is>
      </c>
      <c r="C12" s="71" t="inlineStr">
        <is>
          <t>Se desmonta filtro, se le realiza limpieza, se instala, se adiciona agua, queda ok.</t>
        </is>
      </c>
      <c r="D12" s="109" t="n">
        <v>200</v>
      </c>
      <c r="E12" s="108" t="n">
        <v>1</v>
      </c>
    </row>
    <row r="13" ht="15.75" customHeight="1">
      <c r="A13" s="75" t="n">
        <v>6</v>
      </c>
      <c r="B13" s="65" t="inlineStr">
        <is>
          <t>BLOQUEO POR ALARMA CONTROLADOR SP20</t>
        </is>
      </c>
      <c r="C13" s="71" t="inlineStr">
        <is>
          <t>se realiza mantenimiento al termoregulador, se verifican membranas, se limpian filtros. Queda ok se entrega a produccion.</t>
        </is>
      </c>
      <c r="D13" s="109" t="n">
        <v>200</v>
      </c>
      <c r="E13" s="108" t="n">
        <v>1</v>
      </c>
    </row>
    <row r="14" ht="15.75" customHeight="1">
      <c r="A14" s="75" t="n">
        <v>7</v>
      </c>
      <c r="B14" s="65" t="inlineStr">
        <is>
          <t>Temperatura alta en la zona de la bomba y fuga de ahua cavidad 14.</t>
        </is>
      </c>
      <c r="C14" s="71" t="inlineStr">
        <is>
          <t>se realiza desmonte de filtro de equipos auxiliares en termoreguador se limpia se  prueba ok</t>
        </is>
      </c>
      <c r="D14" s="109" t="n">
        <v>170</v>
      </c>
      <c r="E14" s="108" t="n">
        <v>1</v>
      </c>
    </row>
    <row r="15" ht="15.75" customHeight="1">
      <c r="A15" s="75" t="n">
        <v>8</v>
      </c>
      <c r="B15" s="65" t="inlineStr">
        <is>
          <t>Falta de grasa en la  FSM</t>
        </is>
      </c>
      <c r="C15" s="71" t="inlineStr">
        <is>
          <t>Se sube el nivel de la grasa en la FSM</t>
        </is>
      </c>
      <c r="D15" s="109" t="n">
        <v>60</v>
      </c>
      <c r="E15" s="108" t="n">
        <v>1</v>
      </c>
    </row>
    <row r="16" ht="15.75" customHeight="1">
      <c r="A16" s="75" t="n">
        <v>9</v>
      </c>
      <c r="B16" s="65" t="inlineStr">
        <is>
          <t>fuga de agua cavidad #16</t>
        </is>
      </c>
      <c r="C16" s="71" t="inlineStr">
        <is>
          <t>Se realiza cambio de mangueras de cavidad, se hace cebtrado de cavidad y montaje</t>
        </is>
      </c>
      <c r="D16" s="109" t="n">
        <v>60</v>
      </c>
      <c r="E16" s="108" t="n">
        <v>1</v>
      </c>
    </row>
    <row r="17" ht="15.75" customHeight="1">
      <c r="A17" s="75" t="n">
        <v>10</v>
      </c>
      <c r="B17" s="65" t="inlineStr">
        <is>
          <t>Parada por alarma SP18</t>
        </is>
      </c>
      <c r="C17" s="71" t="inlineStr">
        <is>
          <t>Se desmonta y se limpia filtro, despues se vuelte a montar</t>
        </is>
      </c>
      <c r="D17" s="109" t="n">
        <v>40</v>
      </c>
      <c r="E17" s="108" t="n">
        <v>1</v>
      </c>
    </row>
    <row r="18">
      <c r="A18" s="67" t="n"/>
      <c r="B18" s="64" t="n"/>
      <c r="C18" s="64" t="n"/>
      <c r="D18" s="81" t="n"/>
      <c r="E18" s="67" t="n"/>
    </row>
    <row r="19" ht="15.75" customHeight="1" thickBot="1"/>
    <row r="20" ht="18.75" customHeight="1" thickBot="1" thickTop="1">
      <c r="B20" s="6" t="n"/>
      <c r="C20" s="6" t="n"/>
      <c r="D20" s="7">
        <f>SUM(D8:D17)</f>
        <v/>
      </c>
    </row>
    <row r="21" ht="15.75" customHeight="1" thickTop="1">
      <c r="D21" s="38" t="n"/>
    </row>
    <row r="25">
      <c r="B25" s="33" t="n"/>
    </row>
  </sheetData>
  <autoFilter ref="B7:D18">
    <sortState ref="B8:D16">
      <sortCondition descending="1" ref="D7:D16"/>
    </sortState>
  </autoFilter>
  <pageMargins left="0.75" right="0.75" top="1" bottom="1" header="0" footer="0"/>
  <pageSetup orientation="portrait"/>
</worksheet>
</file>

<file path=xl/worksheets/sheet8.xml><?xml version="1.0" encoding="utf-8"?>
<worksheet xmlns="http://schemas.openxmlformats.org/spreadsheetml/2006/main">
  <sheetPr>
    <outlinePr summaryBelow="1" summaryRight="1"/>
    <pageSetUpPr/>
  </sheetPr>
  <dimension ref="A1:G25"/>
  <sheetViews>
    <sheetView topLeftCell="A3" zoomScale="80" zoomScaleNormal="80" workbookViewId="0">
      <selection activeCell="D8" sqref="A8:D11"/>
    </sheetView>
  </sheetViews>
  <sheetFormatPr baseColWidth="10" defaultColWidth="11.42578125" defaultRowHeight="15"/>
  <cols>
    <col width="13.42578125" customWidth="1" style="4" min="1" max="1"/>
    <col width="70.140625" customWidth="1" style="4" min="2" max="2"/>
    <col width="84.42578125" customWidth="1" style="4" min="3" max="3"/>
    <col width="22.42578125" customWidth="1" style="4" min="4" max="4"/>
    <col width="11.42578125" customWidth="1" style="4" min="5" max="16384"/>
  </cols>
  <sheetData>
    <row r="1">
      <c r="A1" s="4" t="n">
        <v>74</v>
      </c>
    </row>
    <row r="6" ht="15.75" customHeight="1" thickBot="1"/>
    <row r="7" ht="81"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76" t="n">
        <v>1</v>
      </c>
      <c r="B8" s="71" t="inlineStr">
        <is>
          <t>falla por alarma 3024 controla sp5v</t>
        </is>
      </c>
      <c r="C8" s="93" t="inlineStr">
        <is>
          <t>se realiza cambio de bomba de vacio se instala la de la pmv 3 por autorizacion de edison solano se prueba ok</t>
        </is>
      </c>
      <c r="D8" s="109" t="n">
        <v>200</v>
      </c>
      <c r="E8" s="105" t="n">
        <v>1</v>
      </c>
      <c r="F8" s="37" t="n"/>
      <c r="G8" s="36" t="n"/>
    </row>
    <row r="9" ht="15.75" customHeight="1">
      <c r="A9" s="76" t="n">
        <v>2</v>
      </c>
      <c r="B9" s="71" t="inlineStr">
        <is>
          <t>Revision Cavidad y Punzon No 60 Por Golpe</t>
        </is>
      </c>
      <c r="C9" s="93" t="inlineStr">
        <is>
          <t>Se realiza cambio de punzon; el numero 60 se baja y se monta el 31, se cambia cavidad por una nueva</t>
        </is>
      </c>
      <c r="D9" s="109" t="n">
        <v>120</v>
      </c>
      <c r="E9" s="105" t="n">
        <v>1</v>
      </c>
      <c r="F9" s="37" t="n"/>
      <c r="G9" s="36" t="n"/>
    </row>
    <row r="10" ht="15.75" customHeight="1">
      <c r="A10" s="76" t="n">
        <v>3</v>
      </c>
      <c r="B10" s="71" t="inlineStr">
        <is>
          <t>Revisionpunzon # 46 posicion # 5 por concavidad alta</t>
        </is>
      </c>
      <c r="C10" s="93" t="inlineStr">
        <is>
          <t>Se cambia punzon por uno de repuesto</t>
        </is>
      </c>
      <c r="D10" s="109" t="n">
        <v>70</v>
      </c>
      <c r="E10" s="105" t="n">
        <v>1</v>
      </c>
      <c r="F10" s="37" t="n"/>
      <c r="G10" s="36" t="n"/>
    </row>
    <row r="11" ht="15.75" customHeight="1">
      <c r="A11" s="76" t="n">
        <v>4</v>
      </c>
      <c r="B11" s="71" t="inlineStr">
        <is>
          <t>Parada Por Leve Golpe Punzon No 5</t>
        </is>
      </c>
      <c r="C11" s="93" t="inlineStr">
        <is>
          <t>Se Reviza y se Cambia Punzon No 5 Posiscion No 5 Se Prueba OK.</t>
        </is>
      </c>
      <c r="D11" s="109" t="n">
        <v>50</v>
      </c>
      <c r="E11" s="105" t="n">
        <v>1</v>
      </c>
      <c r="F11" s="37" t="n"/>
      <c r="G11" s="36" t="n"/>
    </row>
    <row r="12" ht="15.75" customHeight="1">
      <c r="A12" s="76" t="n">
        <v>5</v>
      </c>
      <c r="B12" s="71" t="inlineStr">
        <is>
          <t>Revision punzones #43 - #41 por rebaba posicion #5 - #41</t>
        </is>
      </c>
      <c r="C12" s="93" t="inlineStr">
        <is>
          <t>Se realiza cambio de punzones #41 y #5</t>
        </is>
      </c>
      <c r="D12" s="109" t="n">
        <v>30</v>
      </c>
      <c r="E12" s="105" t="n">
        <v>1</v>
      </c>
      <c r="F12" s="37" t="n"/>
      <c r="G12" s="36" t="n"/>
    </row>
    <row r="13" ht="15.75" customHeight="1">
      <c r="A13" s="76" t="n">
        <v>6</v>
      </c>
      <c r="B13" s="71" t="inlineStr">
        <is>
          <t>Punzon 46 posicion 5 concavidad alta.</t>
        </is>
      </c>
      <c r="C13" s="93" t="inlineStr"/>
      <c r="D13" s="109" t="n">
        <v>10</v>
      </c>
      <c r="E13" s="105" t="n">
        <v>1</v>
      </c>
      <c r="F13" s="37" t="n"/>
      <c r="G13" s="36" t="n"/>
    </row>
    <row r="14">
      <c r="A14" s="76" t="n"/>
      <c r="B14" s="71" t="n"/>
      <c r="C14" s="71" t="n"/>
      <c r="D14" s="109" t="n"/>
      <c r="E14" s="62" t="n"/>
      <c r="F14" s="37" t="n"/>
      <c r="G14" s="36" t="n"/>
    </row>
    <row r="15">
      <c r="A15" s="76" t="n"/>
      <c r="B15" s="71" t="n"/>
      <c r="C15" s="71" t="n"/>
      <c r="D15" s="71" t="n"/>
      <c r="E15" s="62" t="n"/>
      <c r="F15" s="37" t="n"/>
      <c r="G15" s="36" t="n"/>
    </row>
    <row r="16">
      <c r="A16" s="76" t="n"/>
      <c r="B16" s="71" t="n"/>
      <c r="C16" s="71" t="n"/>
      <c r="D16" s="71" t="n"/>
      <c r="E16" s="62" t="n"/>
      <c r="F16" s="37" t="n"/>
      <c r="G16" s="36" t="n"/>
    </row>
    <row r="17">
      <c r="A17" s="76" t="n"/>
      <c r="B17" s="71" t="n"/>
      <c r="C17" s="71" t="n"/>
      <c r="D17" s="71" t="n"/>
      <c r="E17" s="62" t="n"/>
      <c r="F17" s="36" t="n"/>
    </row>
    <row r="18">
      <c r="A18" s="76" t="n"/>
      <c r="B18" s="71" t="n"/>
      <c r="C18" s="71" t="n"/>
      <c r="D18" s="71" t="n"/>
      <c r="E18" s="62" t="n"/>
      <c r="F18" s="36" t="n"/>
    </row>
    <row r="19">
      <c r="A19" s="76" t="n"/>
      <c r="B19" s="71" t="n"/>
      <c r="C19" s="71" t="n"/>
      <c r="D19" s="71" t="n"/>
      <c r="E19" s="62" t="n"/>
    </row>
    <row r="20">
      <c r="A20" s="76" t="n"/>
      <c r="B20" s="71" t="n"/>
      <c r="C20" s="71" t="n"/>
      <c r="D20" s="71" t="n"/>
      <c r="E20" s="62" t="n"/>
    </row>
    <row r="21" ht="15.75" customHeight="1" thickBot="1"/>
    <row r="22" ht="18.75" customHeight="1" thickBot="1" thickTop="1">
      <c r="B22" s="6" t="n"/>
      <c r="C22" s="6" t="n"/>
      <c r="D22" s="7">
        <f>SUM(D8:D13)</f>
        <v/>
      </c>
    </row>
    <row r="23" ht="15.75" customHeight="1" thickTop="1"/>
    <row r="25">
      <c r="B25" s="33" t="n"/>
    </row>
  </sheetData>
  <autoFilter ref="B7:D20">
    <sortState ref="B8:D20">
      <sortCondition descending="1" ref="D7:D20"/>
    </sortState>
  </autoFilter>
  <pageMargins left="0.75" right="0.75" top="1" bottom="1" header="0" footer="0"/>
  <pageSetup orientation="portrait"/>
</worksheet>
</file>

<file path=xl/worksheets/sheet9.xml><?xml version="1.0" encoding="utf-8"?>
<worksheet xmlns="http://schemas.openxmlformats.org/spreadsheetml/2006/main">
  <sheetPr>
    <outlinePr summaryBelow="1" summaryRight="1"/>
    <pageSetUpPr/>
  </sheetPr>
  <dimension ref="A7:E21"/>
  <sheetViews>
    <sheetView zoomScale="80" zoomScaleNormal="80" workbookViewId="0">
      <selection activeCell="D8" sqref="A8:D13"/>
    </sheetView>
  </sheetViews>
  <sheetFormatPr baseColWidth="10" defaultColWidth="11.42578125" defaultRowHeight="15"/>
  <cols>
    <col width="13.42578125" customWidth="1" style="4" min="1" max="1"/>
    <col width="55.140625" customWidth="1" style="4" min="2" max="2"/>
    <col width="79.85546875" customWidth="1" style="4" min="3" max="3"/>
    <col width="22.42578125" customWidth="1" style="4" min="4" max="4"/>
    <col width="11.42578125" customWidth="1" style="4" min="5" max="16384"/>
  </cols>
  <sheetData>
    <row r="6" ht="15.75" customHeight="1" thickBot="1"/>
    <row r="7" ht="33" customHeight="1" thickBot="1" thickTop="1">
      <c r="A7" s="5" t="inlineStr">
        <is>
          <t>Falla No</t>
        </is>
      </c>
      <c r="B7" s="28" t="inlineStr">
        <is>
          <t>DESCRIPCIÓN PARADA</t>
        </is>
      </c>
      <c r="C7" s="28" t="inlineStr">
        <is>
          <t xml:space="preserve">TRABAJO REALIZADO </t>
        </is>
      </c>
      <c r="D7" s="28" t="inlineStr">
        <is>
          <t>TIEMPO PERDIDO (MIN)</t>
        </is>
      </c>
      <c r="E7" s="5" t="inlineStr">
        <is>
          <t>N° Eventos</t>
        </is>
      </c>
    </row>
    <row r="8" ht="15.75" customHeight="1" thickTop="1">
      <c r="A8" s="61" t="n">
        <v>1</v>
      </c>
      <c r="B8" s="96" t="inlineStr">
        <is>
          <t>FALLA SINCRONISMO CARRUSELES</t>
        </is>
      </c>
      <c r="C8" s="96" t="inlineStr">
        <is>
          <t>Se Cambia Encoder, se Instala Encoder de la CCM 3 se Sincroniza Maquina, se Prueba OK.</t>
        </is>
      </c>
      <c r="D8" s="110" t="n">
        <v>780</v>
      </c>
      <c r="E8" s="119" t="n">
        <v>1</v>
      </c>
    </row>
    <row r="9" ht="15.75" customHeight="1">
      <c r="A9" s="61" t="n">
        <v>2</v>
      </c>
      <c r="B9" s="96" t="inlineStr">
        <is>
          <t>punzones golpeados</t>
        </is>
      </c>
      <c r="C9" s="96" t="inlineStr"/>
      <c r="D9" s="110" t="n">
        <v>300</v>
      </c>
      <c r="E9" s="119" t="n">
        <v>1</v>
      </c>
    </row>
    <row r="10" ht="15.75" customHeight="1">
      <c r="A10" s="61" t="n">
        <v>3</v>
      </c>
      <c r="B10" s="96" t="inlineStr">
        <is>
          <t>revision punzon # 15 y 48 por golpe</t>
        </is>
      </c>
      <c r="C10" s="96" t="inlineStr">
        <is>
          <t>se realiza cambio de punzon # 15 por desportillado y esjeco de cavidad golpeado, se realiza cambio de punzon # 48 por golpe se prueba ok</t>
        </is>
      </c>
      <c r="D10" s="110" t="n">
        <v>195</v>
      </c>
      <c r="E10" s="119" t="n">
        <v>1</v>
      </c>
    </row>
    <row r="11" ht="15.75" customHeight="1">
      <c r="A11" s="61" t="n">
        <v>4</v>
      </c>
      <c r="B11" s="96" t="inlineStr">
        <is>
          <t>Revision punzon y cavidad # 2 por golpe</t>
        </is>
      </c>
      <c r="C11" s="96" t="inlineStr">
        <is>
          <t>Se instala punzon IP 1415 y cabio de espejo posicion # 2.</t>
        </is>
      </c>
      <c r="D11" s="110" t="n">
        <v>170</v>
      </c>
      <c r="E11" s="119" t="n">
        <v>1</v>
      </c>
    </row>
    <row r="12" ht="15.75" customHeight="1">
      <c r="A12" s="61" t="n">
        <v>5</v>
      </c>
      <c r="B12" s="96" t="inlineStr">
        <is>
          <t>PERDIDA DE SINCRONISMO FSM</t>
        </is>
      </c>
      <c r="C12" s="96" t="inlineStr">
        <is>
          <t>ajuste de proceso, se baja la velocidad a la FSM a 800 tapas por minuto. Queda ok.</t>
        </is>
      </c>
      <c r="D12" s="110" t="n">
        <v>90</v>
      </c>
      <c r="E12" s="119" t="n">
        <v>1</v>
      </c>
    </row>
    <row r="13" ht="15.75" customHeight="1">
      <c r="A13" s="61" t="n">
        <v>6</v>
      </c>
      <c r="B13" s="96" t="inlineStr">
        <is>
          <t>Sin descripción de parada</t>
        </is>
      </c>
      <c r="C13" s="96" t="inlineStr"/>
      <c r="D13" s="110" t="n">
        <v>30</v>
      </c>
      <c r="E13" s="119" t="n">
        <v>1</v>
      </c>
    </row>
    <row r="14" ht="15.75" customHeight="1">
      <c r="A14" s="44" t="n"/>
      <c r="B14" s="79" t="n"/>
      <c r="C14" s="79" t="n"/>
      <c r="D14" s="89" t="n"/>
      <c r="E14" s="49" t="n"/>
    </row>
    <row r="15" ht="15.75" customHeight="1">
      <c r="A15" s="44" t="n"/>
      <c r="B15" s="56" t="n"/>
      <c r="C15" s="56" t="n"/>
      <c r="D15" s="111" t="n"/>
      <c r="E15" s="31" t="n"/>
    </row>
    <row r="16" ht="15.75" customHeight="1">
      <c r="A16" s="44" t="n"/>
      <c r="B16" s="56" t="n"/>
      <c r="C16" s="56" t="n"/>
      <c r="D16" s="51" t="n"/>
      <c r="E16" s="45" t="n"/>
    </row>
    <row r="17" ht="15.75" customHeight="1">
      <c r="A17" s="44" t="n"/>
      <c r="B17" s="56" t="n"/>
      <c r="C17" s="56" t="n"/>
      <c r="D17" s="56" t="n"/>
      <c r="E17" s="48" t="n"/>
    </row>
    <row r="18" ht="15.75" customHeight="1">
      <c r="A18" s="44" t="n"/>
      <c r="B18" s="56" t="n"/>
      <c r="C18" s="56" t="n"/>
      <c r="D18" s="94" t="n"/>
      <c r="E18" s="49" t="n"/>
    </row>
    <row r="19" ht="15.75" customHeight="1" thickBot="1">
      <c r="A19" s="47" t="n"/>
      <c r="B19" s="54" t="n"/>
      <c r="C19" s="52" t="n"/>
      <c r="D19" s="55" t="n"/>
      <c r="E19" s="31" t="n"/>
    </row>
    <row r="20" ht="16.5" customHeight="1" thickBot="1" thickTop="1"/>
    <row r="21" ht="18.75" customHeight="1" thickBot="1" thickTop="1">
      <c r="B21" s="6" t="n"/>
      <c r="C21" s="6" t="n"/>
      <c r="D21" s="7">
        <f>SUM(D8:D13)</f>
        <v/>
      </c>
    </row>
    <row r="22" ht="15.75" customHeight="1" thickTop="1"/>
  </sheetData>
  <autoFilter ref="B7:D17">
    <sortState ref="B8:D14">
      <sortCondition descending="1" ref="D7:D14"/>
    </sortState>
  </autoFilter>
  <pageMargins left="0.75" right="0.75" top="1" bottom="1" header="0" footer="0"/>
  <pageSetup orientation="portrait" verticalDpi="300"/>
</worksheet>
</file>

<file path=xl/worksheets/sheet10.xml><?xml version="1.0" encoding="utf-8"?>
<worksheet xmlns="http://schemas.openxmlformats.org/spreadsheetml/2006/main">
  <sheetPr>
    <outlinePr summaryBelow="1" summaryRight="1"/>
    <pageSetUpPr/>
  </sheetPr>
  <dimension ref="A1:E26"/>
  <sheetViews>
    <sheetView zoomScale="80" zoomScaleNormal="80" workbookViewId="0">
      <selection activeCell="D8" sqref="A8:D13"/>
    </sheetView>
  </sheetViews>
  <sheetFormatPr baseColWidth="10" defaultColWidth="11.42578125" defaultRowHeight="15"/>
  <cols>
    <col width="83.85546875" customWidth="1" min="2" max="2"/>
    <col width="73.2851562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v>1</v>
      </c>
      <c r="B8" s="61" t="inlineStr">
        <is>
          <t>falla termoregulador temperatura alta</t>
        </is>
      </c>
      <c r="C8" s="61" t="inlineStr">
        <is>
          <t>Se realiza cambio de manguera de entrada a termoregulador, se evidencia bobina suelta de la zona de punzones, se abren llaves de chiller arranca ok, se cambia UPS en FSM</t>
        </is>
      </c>
      <c r="D8" s="112" t="n">
        <v>540</v>
      </c>
      <c r="E8" s="122" t="n">
        <v>1</v>
      </c>
    </row>
    <row r="9" ht="15.75" customHeight="1">
      <c r="A9" s="61" t="n">
        <v>2</v>
      </c>
      <c r="B9" s="61" t="inlineStr">
        <is>
          <t>tapa con anillo doblado recalentamiento en punzon</t>
        </is>
      </c>
      <c r="C9" s="61" t="inlineStr"/>
      <c r="D9" s="112" t="n">
        <v>480</v>
      </c>
      <c r="E9" s="122" t="n">
        <v>1</v>
      </c>
    </row>
    <row r="10" ht="15.75" customHeight="1">
      <c r="A10" s="61" t="n">
        <v>3</v>
      </c>
      <c r="B10" s="61" t="inlineStr">
        <is>
          <t>bloque de presion en tapa deformada refrigeracion en punzones defisiente</t>
        </is>
      </c>
      <c r="C10" s="61" t="inlineStr">
        <is>
          <t>se realiza revision y se evidencia amarres en mangueras de recirculacion y se evidencia que de los punzones que montaron 1 tiene golpe se reakiza mtto de 1 punzon por parte de diego carvajas se monta se prueba ok</t>
        </is>
      </c>
      <c r="D10" s="112" t="n">
        <v>200</v>
      </c>
      <c r="E10" s="122" t="n">
        <v>1</v>
      </c>
    </row>
    <row r="11" ht="15.75" customHeight="1">
      <c r="A11" s="61" t="n">
        <v>4</v>
      </c>
      <c r="B11" s="61" t="inlineStr">
        <is>
          <t>DAÑO ACOPLE MANGUERA TERMOREGULADOR</t>
        </is>
      </c>
      <c r="C11" s="61" t="inlineStr">
        <is>
          <t>se desmosnta sistema de acople mangueras entrada agua chiller y se evidencia con fisura</t>
        </is>
      </c>
      <c r="D11" s="112" t="n">
        <v>180</v>
      </c>
      <c r="E11" s="122" t="n">
        <v>1</v>
      </c>
    </row>
    <row r="12">
      <c r="A12" s="61" t="n"/>
      <c r="B12" s="71" t="n"/>
      <c r="C12" s="71" t="n"/>
      <c r="D12" s="109" t="n"/>
      <c r="E12" s="126" t="n"/>
    </row>
    <row r="13" ht="17.25" customHeight="1">
      <c r="A13" s="61" t="n"/>
      <c r="B13" s="79" t="n"/>
      <c r="C13" s="104" t="n"/>
      <c r="D13" s="113" t="n"/>
      <c r="E13" s="124" t="n"/>
    </row>
    <row r="14" ht="17.25" customHeight="1">
      <c r="A14" s="61" t="n"/>
      <c r="B14" s="65" t="n"/>
      <c r="C14" s="65" t="n"/>
      <c r="D14" s="112" t="n"/>
      <c r="E14" s="82" t="n"/>
    </row>
    <row r="15" ht="17.25" customHeight="1">
      <c r="A15" s="61" t="n"/>
      <c r="B15" s="65" t="n"/>
      <c r="C15" s="65" t="n"/>
      <c r="D15" s="112" t="n"/>
      <c r="E15" s="82" t="n"/>
    </row>
    <row r="16">
      <c r="A16" s="61" t="n"/>
      <c r="B16" s="65" t="n"/>
      <c r="C16" s="78" t="n"/>
      <c r="D16" s="92" t="n"/>
      <c r="E16" s="61" t="n"/>
    </row>
    <row r="17" ht="15.75" customHeight="1" thickBot="1">
      <c r="A17" s="4" t="n"/>
      <c r="B17" s="4" t="n"/>
      <c r="C17" s="4" t="n"/>
      <c r="D17" s="4" t="n"/>
      <c r="E17" s="4" t="n"/>
    </row>
    <row r="18" ht="18.75" customHeight="1" thickBot="1" thickTop="1">
      <c r="A18" s="4" t="n"/>
      <c r="B18" s="6" t="n"/>
      <c r="C18" s="6" t="n"/>
      <c r="D18" s="7">
        <f>SUM(D8:D11)</f>
        <v/>
      </c>
      <c r="E18" s="4" t="n"/>
    </row>
    <row r="19" ht="15.75" customHeight="1" thickTop="1">
      <c r="A19" s="4" t="n"/>
      <c r="B19" s="4" t="n"/>
      <c r="C19" s="4" t="n"/>
      <c r="D19" s="4" t="n"/>
      <c r="E19" s="4" t="n"/>
    </row>
    <row r="20">
      <c r="A20" s="4" t="n"/>
      <c r="B20" s="4" t="n"/>
      <c r="C20" s="4" t="n"/>
      <c r="D20" s="4" t="n"/>
      <c r="E20" s="4" t="n"/>
    </row>
    <row r="21">
      <c r="B21" s="4" t="n"/>
      <c r="C21" s="4" t="n"/>
      <c r="D21" s="4" t="n"/>
      <c r="E21" s="4" t="n"/>
    </row>
    <row r="22">
      <c r="B22" s="4" t="n"/>
      <c r="C22" s="4" t="n"/>
      <c r="D22" s="4" t="n"/>
      <c r="E22" s="4" t="n"/>
    </row>
    <row r="23">
      <c r="B23" s="33" t="n"/>
      <c r="C23" s="4" t="n"/>
      <c r="D23" s="4" t="n"/>
      <c r="E23" s="4" t="n"/>
    </row>
    <row r="24">
      <c r="B24" s="4" t="n"/>
      <c r="C24" s="4" t="n"/>
      <c r="D24" s="4" t="n"/>
      <c r="E24" s="4" t="n"/>
    </row>
    <row r="25">
      <c r="B25" s="4" t="n"/>
      <c r="C25" s="4" t="n"/>
      <c r="D25" s="4" t="n"/>
      <c r="E25" s="4" t="n"/>
    </row>
    <row r="26">
      <c r="B26" s="4" t="n"/>
      <c r="C26" s="4" t="n"/>
      <c r="D26" s="4" t="n"/>
      <c r="E26" s="4" t="n"/>
    </row>
  </sheetData>
  <pageMargins left="0.7" right="0.7" top="0.75" bottom="0.75" header="0.3" footer="0.3"/>
  <pageSetup orientation="portrait" horizontalDpi="300" verticalDpi="0" copies="0"/>
</worksheet>
</file>

<file path=xl/worksheets/sheet11.xml><?xml version="1.0" encoding="utf-8"?>
<worksheet xmlns="http://schemas.openxmlformats.org/spreadsheetml/2006/main">
  <sheetPr>
    <outlinePr summaryBelow="1" summaryRight="1"/>
    <pageSetUpPr/>
  </sheetPr>
  <dimension ref="A1:E26"/>
  <sheetViews>
    <sheetView zoomScale="80" zoomScaleNormal="80" workbookViewId="0">
      <selection activeCell="D8" sqref="A8:D9"/>
    </sheetView>
  </sheetViews>
  <sheetFormatPr baseColWidth="10" defaultColWidth="11.42578125" defaultRowHeight="15"/>
  <cols>
    <col width="83.85546875" customWidth="1" min="2" max="2"/>
    <col width="91.8554687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v>1</v>
      </c>
      <c r="B8" s="61" t="inlineStr">
        <is>
          <t>Revision daño de racor punzon #39 (fuga de agua)</t>
        </is>
      </c>
      <c r="C8" s="103" t="inlineStr">
        <is>
          <t>Se baja punzon y expulsor para limpieza de agua cambiar racor. Ensamblar pero continua el problema en cavidad 35 ala 41 se bajan punzones y expulsores, se realiza limpieza se monta, el problema continua. Se bajan nuevamente punzones del 35 al 40 se realiza mantenimiento cambio de empaques. montar nuevamente</t>
        </is>
      </c>
      <c r="D8" s="117" t="n">
        <v>480</v>
      </c>
      <c r="E8" s="116" t="n">
        <v>1</v>
      </c>
    </row>
    <row r="9" ht="15.75" customHeight="1">
      <c r="A9" s="61" t="n">
        <v>2</v>
      </c>
      <c r="B9" s="61" t="inlineStr">
        <is>
          <t>fuga de agua</t>
        </is>
      </c>
      <c r="C9" s="103" t="inlineStr">
        <is>
          <t>se corrige fuga</t>
        </is>
      </c>
      <c r="D9" s="117" t="n">
        <v>120</v>
      </c>
      <c r="E9" s="116" t="n">
        <v>1</v>
      </c>
    </row>
    <row r="10">
      <c r="A10" s="83" t="n"/>
      <c r="B10" s="79" t="n"/>
      <c r="C10" s="61" t="n"/>
      <c r="D10" s="100" t="n"/>
      <c r="E10" s="83" t="n"/>
    </row>
    <row r="11">
      <c r="A11" s="83" t="n"/>
      <c r="B11" s="71" t="n"/>
      <c r="C11" s="71" t="n"/>
      <c r="D11" s="99" t="n"/>
      <c r="E11" s="83" t="n"/>
    </row>
    <row r="12">
      <c r="A12" s="83" t="n"/>
      <c r="B12" s="71" t="n"/>
      <c r="C12" s="71" t="n"/>
      <c r="D12" s="99" t="n"/>
      <c r="E12" s="83" t="n"/>
    </row>
    <row r="13">
      <c r="A13" s="83" t="n"/>
      <c r="B13" s="61" t="n"/>
      <c r="C13" s="61" t="n"/>
      <c r="D13" s="101" t="n"/>
      <c r="E13" s="83" t="n"/>
    </row>
    <row r="14">
      <c r="A14" s="83" t="n"/>
      <c r="B14" s="61" t="n"/>
      <c r="C14" s="61" t="n"/>
      <c r="D14" s="101" t="n"/>
      <c r="E14" s="83" t="n"/>
    </row>
    <row r="15">
      <c r="A15" s="83" t="n"/>
      <c r="B15" s="61" t="n"/>
      <c r="C15" s="61" t="n"/>
      <c r="D15" s="101" t="n"/>
      <c r="E15" s="83" t="n"/>
    </row>
    <row r="16">
      <c r="A16" s="83" t="n"/>
      <c r="B16" s="61" t="n"/>
      <c r="C16" s="61" t="n"/>
      <c r="D16" s="101" t="n"/>
      <c r="E16" s="83" t="n"/>
    </row>
    <row r="17" ht="15.75" customHeight="1" thickBot="1">
      <c r="A17" s="4" t="n"/>
      <c r="B17" s="4" t="n"/>
      <c r="C17" s="4" t="n"/>
      <c r="D17" s="4" t="n"/>
      <c r="E17" s="4" t="n"/>
    </row>
    <row r="18" ht="18.75" customHeight="1" thickBot="1" thickTop="1">
      <c r="A18" s="4" t="n"/>
      <c r="B18" s="6" t="n"/>
      <c r="C18" s="6" t="n"/>
      <c r="D18" s="7">
        <f>SUM(D8:D9)</f>
        <v/>
      </c>
      <c r="E18" s="4" t="n"/>
    </row>
    <row r="19" ht="15.75" customHeight="1" thickTop="1">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B23" s="33" t="n"/>
      <c r="C23" s="4" t="n"/>
      <c r="D23" s="4" t="n"/>
      <c r="E23" s="4" t="n"/>
    </row>
    <row r="24">
      <c r="B24" s="4" t="n"/>
      <c r="C24" s="4" t="n"/>
      <c r="D24" s="4" t="n"/>
      <c r="E24" s="4" t="n"/>
    </row>
    <row r="25">
      <c r="B25" s="4" t="n"/>
      <c r="C25" s="4" t="n"/>
      <c r="D25" s="4" t="n"/>
      <c r="E25" s="4" t="n"/>
    </row>
    <row r="26">
      <c r="B26" s="4" t="n"/>
      <c r="C26" s="4" t="n"/>
      <c r="D26" s="4" t="n"/>
      <c r="E26" s="4" t="n"/>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E25"/>
  <sheetViews>
    <sheetView topLeftCell="A4" zoomScale="80" zoomScaleNormal="80" workbookViewId="0">
      <selection activeCell="D8" sqref="B8:D8"/>
    </sheetView>
  </sheetViews>
  <sheetFormatPr baseColWidth="10" defaultColWidth="11.42578125" defaultRowHeight="15"/>
  <cols>
    <col width="83.85546875" customWidth="1" min="2" max="2"/>
    <col width="91.85546875" customWidth="1" min="3" max="3"/>
  </cols>
  <sheetData>
    <row r="1">
      <c r="A1" s="4" t="n"/>
      <c r="B1" s="4" t="n"/>
      <c r="C1" s="4" t="n"/>
      <c r="D1" s="4" t="n"/>
      <c r="E1" s="4" t="n"/>
    </row>
    <row r="2">
      <c r="A2" s="4" t="n"/>
      <c r="B2" s="4" t="n"/>
      <c r="C2" s="4" t="n"/>
      <c r="D2" s="4" t="n"/>
      <c r="E2" s="4" t="n"/>
    </row>
    <row r="3">
      <c r="A3" s="4" t="n"/>
      <c r="B3" s="4" t="n"/>
      <c r="C3" s="4" t="n"/>
      <c r="D3" s="4" t="n"/>
      <c r="E3" s="4" t="n"/>
    </row>
    <row r="4">
      <c r="A4" s="4" t="n"/>
      <c r="B4" s="4" t="n"/>
      <c r="C4" s="4" t="n"/>
      <c r="D4" s="4" t="n"/>
      <c r="E4" s="4" t="n"/>
    </row>
    <row r="5">
      <c r="A5" s="4" t="n"/>
      <c r="B5" s="4" t="n"/>
      <c r="C5" s="4" t="n"/>
      <c r="D5" s="4" t="n"/>
      <c r="E5" s="4" t="n"/>
    </row>
    <row r="6" ht="15.75" customHeight="1" thickBot="1">
      <c r="A6" s="4" t="n"/>
      <c r="B6" s="4" t="n"/>
      <c r="C6" s="4" t="n"/>
      <c r="D6" s="4" t="n"/>
      <c r="E6" s="4" t="n"/>
    </row>
    <row r="7" ht="48.75"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2" t="n">
        <v>1</v>
      </c>
      <c r="B8" s="71" t="inlineStr">
        <is>
          <t>Alarma BQ8 en FSM y fallaBY-PASS</t>
        </is>
      </c>
      <c r="C8" s="71" t="inlineStr">
        <is>
          <t>Se realiza inspeccion de funcionamiento de maquina, en modo manual despues de un tiempo pierde la lectura de encoder, se desmonta encoder y se hace el montaje de uno de pruebas pero no lo reconoce la maquina, se hace mntaje del ecoder desmontado, se hace ajuste de sincronismo arranca ok. Se requiere programar parada de maquina de 1 turno para mantenimiento de BY-.PASS</t>
        </is>
      </c>
      <c r="D8" s="109" t="n">
        <v>200</v>
      </c>
      <c r="E8" s="116" t="n">
        <v>1</v>
      </c>
    </row>
    <row r="9" ht="15.75" customHeight="1">
      <c r="A9" s="62" t="n">
        <v>2</v>
      </c>
      <c r="B9" s="71" t="inlineStr">
        <is>
          <t>Humedad en punzones 30 y 31</t>
        </is>
      </c>
      <c r="C9" s="71" t="inlineStr">
        <is>
          <t>Se realiza cambio de punzon #30 y 31</t>
        </is>
      </c>
      <c r="D9" s="109" t="n">
        <v>75</v>
      </c>
      <c r="E9" s="116" t="n">
        <v>1</v>
      </c>
    </row>
    <row r="10" ht="15.75" customHeight="1">
      <c r="A10" s="62" t="n">
        <v>3</v>
      </c>
      <c r="B10" s="71" t="inlineStr">
        <is>
          <t>punzon # 30 y 31 con humedad</t>
        </is>
      </c>
      <c r="C10" s="71" t="inlineStr">
        <is>
          <t>se realiza cambio de punzon 30 y 31 se pureba ok</t>
        </is>
      </c>
      <c r="D10" s="109" t="n">
        <v>75</v>
      </c>
      <c r="E10" s="116" t="n">
        <v>1</v>
      </c>
    </row>
    <row r="11">
      <c r="A11" s="62" t="n"/>
      <c r="B11" s="71" t="n"/>
      <c r="C11" s="71" t="n"/>
      <c r="D11" s="71" t="n"/>
      <c r="E11" s="83" t="n"/>
    </row>
    <row r="12">
      <c r="A12" s="62" t="n"/>
      <c r="B12" s="71" t="n"/>
      <c r="C12" s="71" t="n"/>
      <c r="D12" s="71" t="n"/>
      <c r="E12" s="83" t="n"/>
    </row>
    <row r="13">
      <c r="A13" s="62" t="n"/>
      <c r="B13" s="71" t="n"/>
      <c r="C13" s="71" t="n"/>
      <c r="D13" s="71" t="n"/>
      <c r="E13" s="83" t="n"/>
    </row>
    <row r="14">
      <c r="A14" s="62" t="n"/>
      <c r="B14" s="71" t="n"/>
      <c r="C14" s="71" t="n"/>
      <c r="D14" s="71" t="n"/>
      <c r="E14" s="83" t="n"/>
    </row>
    <row r="15">
      <c r="A15" s="62" t="n"/>
      <c r="B15" s="71" t="n"/>
      <c r="C15" s="71" t="n"/>
      <c r="D15" s="71" t="n"/>
      <c r="E15" s="83" t="n"/>
    </row>
    <row r="16" ht="15.75" customHeight="1" thickBot="1">
      <c r="A16" s="4" t="n"/>
      <c r="B16" s="4" t="n"/>
      <c r="C16" s="4" t="n"/>
      <c r="D16" s="4" t="n"/>
      <c r="E16" s="4" t="n"/>
    </row>
    <row r="17" ht="18.75" customHeight="1" thickBot="1" thickTop="1">
      <c r="A17" s="4" t="n"/>
      <c r="B17" s="6" t="n"/>
      <c r="C17" s="6" t="n"/>
      <c r="D17" s="7">
        <f>SUM(D8:D10)</f>
        <v/>
      </c>
      <c r="E17" s="4" t="n"/>
    </row>
    <row r="18" ht="15.75" customHeight="1" thickTop="1">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B22" s="33" t="n"/>
      <c r="C22" s="4" t="n"/>
      <c r="D22" s="4" t="n"/>
      <c r="E22" s="4" t="n"/>
    </row>
    <row r="23">
      <c r="B23" s="4" t="n"/>
      <c r="C23" s="4" t="n"/>
      <c r="D23" s="4" t="n"/>
      <c r="E23" s="4" t="n"/>
    </row>
    <row r="24">
      <c r="B24" s="4" t="n"/>
      <c r="C24" s="4" t="n"/>
      <c r="D24" s="4" t="n"/>
      <c r="E24" s="4" t="n"/>
    </row>
    <row r="25">
      <c r="B25" s="4" t="n"/>
      <c r="C25" s="4" t="n"/>
      <c r="D25" s="4" t="n"/>
      <c r="E25" s="4" t="n"/>
    </row>
  </sheetData>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7:G18"/>
  <sheetViews>
    <sheetView zoomScale="80" zoomScaleNormal="80" workbookViewId="0">
      <selection activeCell="E10" sqref="E10"/>
    </sheetView>
  </sheetViews>
  <sheetFormatPr baseColWidth="10" defaultColWidth="11.42578125" defaultRowHeight="15"/>
  <cols>
    <col width="13.42578125" customWidth="1" style="4" min="1" max="1"/>
    <col width="61.7109375" customWidth="1" style="4" min="2" max="2"/>
    <col width="70.7109375" customWidth="1" style="4" min="3" max="3"/>
    <col width="22.42578125" customWidth="1" style="4" min="4" max="4"/>
    <col width="11.42578125" customWidth="1" style="4" min="5" max="16384"/>
  </cols>
  <sheetData>
    <row r="6" ht="15.75" customHeight="1" thickBot="1"/>
    <row r="7" ht="33"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61" t="n"/>
      <c r="B8" s="64" t="n"/>
      <c r="C8" s="64" t="n"/>
      <c r="D8" s="65" t="n"/>
      <c r="E8" s="61" t="n"/>
    </row>
    <row r="9">
      <c r="A9" s="82" t="n"/>
      <c r="B9" s="64" t="n"/>
      <c r="C9" s="64" t="n"/>
      <c r="D9" s="65" t="n"/>
      <c r="E9" s="77" t="n"/>
    </row>
    <row r="10">
      <c r="A10" s="84" t="n"/>
      <c r="B10" s="64" t="n"/>
      <c r="C10" s="64" t="n"/>
      <c r="D10" s="65" t="n"/>
      <c r="E10" s="82" t="n"/>
    </row>
    <row r="11">
      <c r="A11" s="84" t="n"/>
      <c r="B11" s="77" t="n"/>
      <c r="C11" s="77" t="n"/>
      <c r="D11" s="80" t="n"/>
      <c r="E11" s="83" t="n"/>
    </row>
    <row r="12">
      <c r="A12" s="70" t="n"/>
      <c r="B12" s="64" t="n"/>
      <c r="C12" s="64" t="n"/>
      <c r="D12" s="81" t="n"/>
      <c r="E12" s="85" t="n"/>
    </row>
    <row r="13" ht="16.5" customHeight="1" thickBot="1">
      <c r="B13" s="34" t="n"/>
      <c r="C13" s="34" t="n"/>
      <c r="D13" s="35" t="n"/>
    </row>
    <row r="14" ht="18.75" customHeight="1" thickBot="1" thickTop="1">
      <c r="B14" s="6" t="n"/>
      <c r="C14" s="6" t="n"/>
      <c r="D14" s="7">
        <f>SUM(D8:D8)</f>
        <v/>
      </c>
    </row>
    <row r="15" ht="15.75" customHeight="1" thickTop="1"/>
    <row r="18">
      <c r="B18" s="33" t="n"/>
    </row>
  </sheetData>
  <autoFilter ref="B7:D12">
    <sortState ref="B8:D16">
      <sortCondition descending="1" ref="D7:D16"/>
    </sortState>
  </autoFilter>
  <pageMargins left="0.75" right="0.75" top="1" bottom="1" header="0" footer="0"/>
  <pageSetup orientation="portrait"/>
</worksheet>
</file>

<file path=xl/worksheets/sheet14.xml><?xml version="1.0" encoding="utf-8"?>
<worksheet xmlns="http://schemas.openxmlformats.org/spreadsheetml/2006/main">
  <sheetPr>
    <outlinePr summaryBelow="1" summaryRight="1"/>
    <pageSetUpPr/>
  </sheetPr>
  <dimension ref="A7:E21"/>
  <sheetViews>
    <sheetView zoomScale="80" zoomScaleNormal="80" workbookViewId="0">
      <selection activeCell="D11" sqref="D11"/>
    </sheetView>
  </sheetViews>
  <sheetFormatPr baseColWidth="10" defaultColWidth="11.42578125" defaultRowHeight="15"/>
  <cols>
    <col width="13.42578125" customWidth="1" style="4" min="1" max="1"/>
    <col width="61.7109375" customWidth="1" style="4" min="2" max="2"/>
    <col width="70.140625" customWidth="1" style="4" min="3" max="3"/>
    <col width="22.42578125" customWidth="1" style="4" min="4" max="4"/>
    <col width="11.42578125" customWidth="1" style="4" min="5" max="16384"/>
  </cols>
  <sheetData>
    <row r="6" ht="15.75" customHeight="1" thickBot="1"/>
    <row r="7" ht="33" customHeight="1" thickBot="1" thickTop="1">
      <c r="A7" s="29" t="inlineStr">
        <is>
          <t>Falla No</t>
        </is>
      </c>
      <c r="B7" s="30" t="inlineStr">
        <is>
          <t>DESCRIPCIÓN PARADA</t>
        </is>
      </c>
      <c r="C7" s="30" t="inlineStr">
        <is>
          <t xml:space="preserve">TRABAJO REALIZADO </t>
        </is>
      </c>
      <c r="D7" s="30" t="inlineStr">
        <is>
          <t>TIEMPO PERDIDO (MIN)</t>
        </is>
      </c>
      <c r="E7" s="29" t="inlineStr">
        <is>
          <t>N° Eventos</t>
        </is>
      </c>
    </row>
    <row r="8" ht="15.75" customHeight="1" thickTop="1">
      <c r="A8" s="83" t="n"/>
      <c r="B8" s="71" t="n"/>
      <c r="C8" s="64" t="n"/>
      <c r="D8" s="72" t="n"/>
      <c r="E8" s="83" t="n"/>
    </row>
    <row r="9">
      <c r="A9" s="83" t="n"/>
      <c r="B9" s="64" t="n"/>
      <c r="C9" s="64" t="n"/>
      <c r="D9" s="65" t="n"/>
      <c r="E9" s="83" t="n"/>
    </row>
    <row r="10">
      <c r="A10" s="63" t="n"/>
      <c r="B10" s="64" t="n"/>
      <c r="C10" s="64" t="n"/>
      <c r="D10" s="65" t="n"/>
      <c r="E10" s="63" t="n"/>
    </row>
    <row r="11">
      <c r="A11" s="63" t="n"/>
      <c r="B11" s="65" t="n"/>
      <c r="C11" s="65" t="n"/>
      <c r="D11" s="77" t="n"/>
      <c r="E11" s="86" t="n"/>
    </row>
    <row r="12">
      <c r="A12" s="87" t="n"/>
      <c r="B12" s="65" t="n"/>
      <c r="C12" s="64" t="n"/>
      <c r="D12" s="80" t="n"/>
      <c r="E12" s="62" t="n"/>
    </row>
    <row r="13">
      <c r="A13" s="70" t="n"/>
      <c r="B13" s="65" t="n"/>
      <c r="C13" s="65" t="n"/>
      <c r="D13" s="77" t="n"/>
      <c r="E13" s="70" t="n"/>
    </row>
    <row r="14" hidden="1" ht="15.75" customHeight="1">
      <c r="A14" s="27" t="n"/>
      <c r="B14" s="2" t="n"/>
      <c r="C14" s="3" t="n"/>
      <c r="D14" s="27" t="n"/>
      <c r="E14" s="27" t="n"/>
    </row>
    <row r="15" ht="15.75" customHeight="1" thickBot="1"/>
    <row r="16" ht="18.75" customHeight="1" thickBot="1" thickTop="1">
      <c r="B16" s="6" t="n"/>
      <c r="C16" s="6" t="n"/>
      <c r="D16" s="7">
        <f>SUM(D8:D8)</f>
        <v/>
      </c>
    </row>
    <row r="17" ht="15.75" customHeight="1" thickTop="1"/>
    <row r="21">
      <c r="B21" s="33" t="n"/>
    </row>
  </sheetData>
  <autoFilter ref="B7:D13">
    <sortState ref="B8:D13">
      <sortCondition descending="1" ref="D7:D13"/>
    </sortState>
  </autoFilter>
  <pageMargins left="0.75" right="0.75" top="1" bottom="1" header="0" footer="0"/>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pmjjimenez</dc:creator>
  <dcterms:created xsi:type="dcterms:W3CDTF">2009-10-24T20:21:55Z</dcterms:created>
  <dcterms:modified xsi:type="dcterms:W3CDTF">2026-08-10T23:41:49Z</dcterms:modified>
  <cp:lastModifiedBy>Diego</cp:lastModifiedBy>
</cp:coreProperties>
</file>