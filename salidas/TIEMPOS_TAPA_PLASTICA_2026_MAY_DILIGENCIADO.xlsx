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drawings/drawing16.xml" ContentType="application/vnd.openxmlformats-officedocument.drawingml.chartshapes+xml"/>
  <Override PartName="/xl/charts/chart16.xml" ContentType="application/vnd.openxmlformats-officedocument.drawingml.chart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iego\Desktop\CCM_MANTENIMIENTO\formatos\"/>
    </mc:Choice>
  </mc:AlternateContent>
  <xr:revisionPtr revIDLastSave="0" documentId="13_ncr:1_{8EF207C3-96B0-4CF3-A14F-9E074A2EAFD2}" xr6:coauthVersionLast="46" xr6:coauthVersionMax="46" xr10:uidLastSave="{00000000-0000-0000-0000-000000000000}"/>
  <bookViews>
    <workbookView xWindow="-120" yWindow="-120" windowWidth="20730" windowHeight="11040" tabRatio="637" firstSheet="1" activeTab="1" xr2:uid="{00000000-000D-0000-FFFF-FFFF00000000}"/>
  </bookViews>
  <sheets>
    <sheet name="TPIBPHG11" sheetId="48" state="hidden" r:id="rId1"/>
    <sheet name="tiempos Perdidos TP IBERPLAST" sheetId="36" r:id="rId2"/>
    <sheet name="tiempos Mtto Prev TP" sheetId="77" r:id="rId3"/>
    <sheet name="tiempos Cambios TP" sheetId="78" r:id="rId4"/>
    <sheet name="Trabajos Realizados CCM1" sheetId="74" r:id="rId5"/>
    <sheet name="Trabajos Realizados CCM2" sheetId="67" r:id="rId6"/>
    <sheet name="Trabajos Realizados CCM3" sheetId="68" r:id="rId7"/>
    <sheet name="Trabajos Realizados CCM64-1" sheetId="70" r:id="rId8"/>
    <sheet name="Trabajos Realizados CCM64-2" sheetId="69" r:id="rId9"/>
    <sheet name="Trabajos Realizados CCM 06" sheetId="79" r:id="rId10"/>
    <sheet name="Trabajos Realizados CCM 07" sheetId="80" r:id="rId11"/>
    <sheet name="Trabajos Realizados CCM 08" sheetId="81" r:id="rId12"/>
    <sheet name="Trabajos Realizados PMV 02" sheetId="71" r:id="rId13"/>
    <sheet name="Trabajos Realizados PMV 04" sheetId="73" r:id="rId14"/>
  </sheets>
  <externalReferences>
    <externalReference r:id="rId15"/>
    <externalReference r:id="rId16"/>
  </externalReferences>
  <definedNames>
    <definedName name="_xlnm._FilterDatabase" localSheetId="3" hidden="1">'tiempos Cambios TP'!#REF!</definedName>
    <definedName name="_xlnm._FilterDatabase" localSheetId="2" hidden="1">'tiempos Mtto Prev TP'!#REF!</definedName>
    <definedName name="_xlnm._FilterDatabase" localSheetId="1" hidden="1">'tiempos Perdidos TP IBERPLAST'!#REF!</definedName>
    <definedName name="_xlnm._FilterDatabase" localSheetId="4" hidden="1">'Trabajos Realizados CCM1'!$B$7:$D$19</definedName>
    <definedName name="_xlnm._FilterDatabase" localSheetId="5" hidden="1">'Trabajos Realizados CCM2'!$B$7:$D$21</definedName>
    <definedName name="_xlnm._FilterDatabase" localSheetId="6" hidden="1">'Trabajos Realizados CCM3'!$B$7:$D$18</definedName>
    <definedName name="_xlnm._FilterDatabase" localSheetId="7" hidden="1">'Trabajos Realizados CCM64-1'!$B$7:$D$20</definedName>
    <definedName name="_xlnm._FilterDatabase" localSheetId="8" hidden="1">'Trabajos Realizados CCM64-2'!$B$7:$D$17</definedName>
    <definedName name="_xlnm._FilterDatabase" localSheetId="12" hidden="1">'Trabajos Realizados PMV 02'!$B$7:$D$12</definedName>
    <definedName name="_xlnm._FilterDatabase" localSheetId="13" hidden="1">'Trabajos Realizados PMV 04'!$B$7:$D$12</definedName>
    <definedName name="AÑO" localSheetId="4">#REF!</definedName>
    <definedName name="AÑO" localSheetId="5">#REF!</definedName>
    <definedName name="AÑO">#REF!</definedName>
    <definedName name="C.ORDEN" localSheetId="3">[1]PENDIENTES!#REF!</definedName>
    <definedName name="C.ORDEN" localSheetId="2">[1]PENDIENTES!#REF!</definedName>
    <definedName name="C.ORDEN" localSheetId="1">[1]PENDIENTES!#REF!</definedName>
    <definedName name="C.ORDEN" localSheetId="4">#REF!</definedName>
    <definedName name="C.ORDEN" localSheetId="5">#REF!</definedName>
    <definedName name="C.ORDEN" localSheetId="7">#REF!</definedName>
    <definedName name="C.ORDEN" localSheetId="12">#REF!</definedName>
    <definedName name="C.ORDEN" localSheetId="13">#REF!</definedName>
    <definedName name="C.ORDEN">#REF!</definedName>
    <definedName name="DIA" localSheetId="4">#REF!</definedName>
    <definedName name="DIA" localSheetId="5">#REF!</definedName>
    <definedName name="DIA">#REF!</definedName>
    <definedName name="EQUIPO" localSheetId="4">#REF!</definedName>
    <definedName name="EQUIPO" localSheetId="5">#REF!</definedName>
    <definedName name="EQUIPO">#REF!</definedName>
    <definedName name="MES" localSheetId="4">#REF!</definedName>
    <definedName name="MES" localSheetId="5">#REF!</definedName>
    <definedName name="MES">#REF!</definedName>
    <definedName name="No._REQUISICIÓN" localSheetId="4">#REF!</definedName>
    <definedName name="No._REQUISICIÓN" localSheetId="5">#REF!</definedName>
    <definedName name="No._REQUISICIÓN">#REF!</definedName>
    <definedName name="ORDEN" localSheetId="3">'tiempos Cambios TP'!#REF!</definedName>
    <definedName name="ORDEN" localSheetId="2">'tiempos Mtto Prev TP'!#REF!</definedName>
    <definedName name="ORDEN" localSheetId="1">'tiempos Perdidos TP IBERPLAST'!#REF!</definedName>
    <definedName name="ORDEN" localSheetId="4">#REF!</definedName>
    <definedName name="ORDEN" localSheetId="5">#REF!</definedName>
    <definedName name="ORDEN" localSheetId="6">#REF!</definedName>
    <definedName name="ORDEN" localSheetId="7">#REF!</definedName>
    <definedName name="ORDEN" localSheetId="8">#REF!</definedName>
    <definedName name="ORDEN" localSheetId="12">#REF!</definedName>
    <definedName name="ORDEN" localSheetId="13">#REF!</definedName>
    <definedName name="ORDEN">#REF!</definedName>
    <definedName name="TURNO" localSheetId="4">#REF!</definedName>
    <definedName name="TURNO" localSheetId="5">#REF!</definedName>
    <definedName name="TURNO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36" l="1"/>
  <c r="B41" i="36"/>
  <c r="D22" i="74" l="1"/>
  <c r="I43" i="78"/>
  <c r="I44" i="77"/>
  <c r="I41" i="36"/>
  <c r="D17" i="81"/>
  <c r="C41" i="36"/>
  <c r="F41" i="36"/>
  <c r="D23" i="67"/>
  <c r="D22" i="70"/>
  <c r="B44" i="77"/>
  <c r="C44" i="77"/>
  <c r="D44" i="77"/>
  <c r="E44" i="77"/>
  <c r="F44" i="77"/>
  <c r="G44" i="77"/>
  <c r="H44" i="77"/>
  <c r="J44" i="77"/>
  <c r="K44" i="77"/>
  <c r="D21" i="69"/>
  <c r="C43" i="78"/>
  <c r="D43" i="78"/>
  <c r="E43" i="78"/>
  <c r="F43" i="78"/>
  <c r="G43" i="78"/>
  <c r="H43" i="78"/>
  <c r="J43" i="78"/>
  <c r="K43" i="78"/>
  <c r="B43" i="78"/>
  <c r="E41" i="36"/>
  <c r="G41" i="36"/>
  <c r="H41" i="36"/>
  <c r="J41" i="36"/>
  <c r="K41" i="36"/>
  <c r="D20" i="68"/>
  <c r="D18" i="80"/>
  <c r="D14" i="71"/>
  <c r="D18" i="79"/>
  <c r="D16" i="73"/>
  <c r="B15" i="48"/>
  <c r="B38" i="48" s="1"/>
  <c r="B17" i="48"/>
  <c r="C38" i="48"/>
  <c r="D38" i="48"/>
  <c r="E38" i="48"/>
  <c r="F38" i="48"/>
  <c r="G38" i="48"/>
  <c r="H38" i="48"/>
  <c r="I38" i="48"/>
  <c r="B73" i="48"/>
  <c r="C73" i="48"/>
  <c r="D73" i="48"/>
  <c r="E73" i="48"/>
  <c r="F73" i="48"/>
  <c r="G73" i="48"/>
  <c r="H73" i="48"/>
  <c r="I73" i="48"/>
  <c r="B109" i="48"/>
  <c r="C109" i="48"/>
  <c r="D109" i="48"/>
  <c r="E109" i="48"/>
  <c r="F109" i="48"/>
  <c r="G109" i="48"/>
  <c r="H109" i="48"/>
  <c r="I109" i="48"/>
  <c r="B145" i="48"/>
  <c r="C145" i="48"/>
  <c r="D145" i="48"/>
  <c r="E145" i="48"/>
  <c r="F145" i="48"/>
  <c r="G145" i="48"/>
  <c r="H145" i="48"/>
  <c r="I145" i="48"/>
  <c r="B216" i="48"/>
  <c r="C216" i="48"/>
  <c r="D216" i="48"/>
  <c r="E216" i="48"/>
  <c r="F216" i="48"/>
  <c r="G216" i="48"/>
  <c r="H216" i="48"/>
  <c r="I216" i="48"/>
  <c r="B221" i="48"/>
  <c r="C221" i="48"/>
  <c r="D221" i="48"/>
  <c r="E221" i="48"/>
  <c r="F221" i="48"/>
  <c r="G221" i="48"/>
  <c r="H221" i="48"/>
  <c r="B222" i="48"/>
  <c r="C222" i="48"/>
  <c r="D222" i="48"/>
  <c r="E222" i="48"/>
  <c r="F222" i="48"/>
  <c r="G222" i="48"/>
  <c r="H222" i="48"/>
  <c r="B223" i="48"/>
  <c r="C223" i="48"/>
  <c r="D223" i="48"/>
  <c r="E223" i="48"/>
  <c r="F223" i="48"/>
  <c r="G223" i="48"/>
  <c r="H223" i="48"/>
  <c r="B224" i="48"/>
  <c r="C224" i="48"/>
  <c r="D224" i="48"/>
  <c r="E224" i="48"/>
  <c r="F224" i="48"/>
  <c r="G224" i="48"/>
  <c r="H224" i="48"/>
  <c r="B225" i="48"/>
  <c r="C225" i="48"/>
  <c r="D225" i="48"/>
  <c r="E225" i="48"/>
  <c r="F225" i="48"/>
  <c r="G225" i="48"/>
  <c r="H225" i="48"/>
  <c r="B226" i="48"/>
  <c r="C226" i="48"/>
  <c r="D226" i="48"/>
  <c r="E226" i="48"/>
  <c r="F226" i="48"/>
  <c r="G226" i="48"/>
  <c r="H226" i="48"/>
  <c r="B227" i="48"/>
  <c r="C227" i="48"/>
  <c r="D227" i="48"/>
  <c r="E227" i="48"/>
  <c r="F227" i="48"/>
  <c r="G227" i="48"/>
  <c r="H227" i="48"/>
  <c r="B228" i="48"/>
  <c r="C228" i="48"/>
  <c r="D228" i="48"/>
  <c r="E228" i="48"/>
  <c r="F228" i="48"/>
  <c r="G228" i="48"/>
  <c r="H228" i="48"/>
  <c r="B229" i="48"/>
  <c r="C229" i="48"/>
  <c r="D229" i="48"/>
  <c r="E229" i="48"/>
  <c r="F229" i="48"/>
  <c r="G229" i="48"/>
  <c r="H229" i="48"/>
  <c r="B230" i="48"/>
  <c r="C230" i="48"/>
  <c r="D230" i="48"/>
  <c r="E230" i="48"/>
  <c r="F230" i="48"/>
  <c r="G230" i="48"/>
  <c r="H230" i="48"/>
  <c r="B231" i="48"/>
  <c r="C231" i="48"/>
  <c r="D231" i="48"/>
  <c r="E231" i="48"/>
  <c r="F231" i="48"/>
  <c r="G231" i="48"/>
  <c r="H231" i="48"/>
  <c r="B232" i="48"/>
  <c r="C232" i="48"/>
  <c r="D232" i="48"/>
  <c r="E232" i="48"/>
  <c r="F232" i="48"/>
  <c r="G232" i="48"/>
  <c r="H232" i="48"/>
  <c r="B233" i="48"/>
  <c r="C233" i="48"/>
  <c r="D233" i="48"/>
  <c r="E233" i="48"/>
  <c r="F233" i="48"/>
  <c r="G233" i="48"/>
  <c r="H233" i="48"/>
  <c r="B234" i="48"/>
  <c r="C234" i="48"/>
  <c r="D234" i="48"/>
  <c r="E234" i="48"/>
  <c r="F234" i="48"/>
  <c r="G234" i="48"/>
  <c r="H234" i="48"/>
  <c r="B235" i="48"/>
  <c r="C235" i="48"/>
  <c r="D235" i="48"/>
  <c r="E235" i="48"/>
  <c r="F235" i="48"/>
  <c r="G235" i="48"/>
  <c r="H235" i="48"/>
  <c r="B236" i="48"/>
  <c r="C236" i="48"/>
  <c r="D236" i="48"/>
  <c r="E236" i="48"/>
  <c r="F236" i="48"/>
  <c r="G236" i="48"/>
  <c r="H236" i="48"/>
  <c r="B237" i="48"/>
  <c r="C237" i="48"/>
  <c r="D237" i="48"/>
  <c r="E237" i="48"/>
  <c r="F237" i="48"/>
  <c r="G237" i="48"/>
  <c r="H237" i="48"/>
  <c r="B238" i="48"/>
  <c r="C238" i="48"/>
  <c r="D238" i="48"/>
  <c r="E238" i="48"/>
  <c r="F238" i="48"/>
  <c r="G238" i="48"/>
  <c r="H238" i="48"/>
  <c r="B239" i="48"/>
  <c r="C239" i="48"/>
  <c r="D239" i="48"/>
  <c r="E239" i="48"/>
  <c r="F239" i="48"/>
  <c r="G239" i="48"/>
  <c r="H239" i="48"/>
  <c r="B240" i="48"/>
  <c r="C240" i="48"/>
  <c r="D240" i="48"/>
  <c r="E240" i="48"/>
  <c r="F240" i="48"/>
  <c r="G240" i="48"/>
  <c r="H240" i="48"/>
  <c r="B241" i="48"/>
  <c r="C241" i="48"/>
  <c r="D241" i="48"/>
  <c r="E241" i="48"/>
  <c r="F241" i="48"/>
  <c r="G241" i="48"/>
  <c r="H241" i="48"/>
  <c r="B242" i="48"/>
  <c r="C242" i="48"/>
  <c r="D242" i="48"/>
  <c r="E242" i="48"/>
  <c r="F242" i="48"/>
  <c r="G242" i="48"/>
  <c r="H242" i="48"/>
  <c r="B243" i="48"/>
  <c r="C243" i="48"/>
  <c r="D243" i="48"/>
  <c r="E243" i="48"/>
  <c r="F243" i="48"/>
  <c r="G243" i="48"/>
  <c r="H243" i="48"/>
  <c r="B244" i="48"/>
  <c r="C244" i="48"/>
  <c r="D244" i="48"/>
  <c r="E244" i="48"/>
  <c r="F244" i="48"/>
  <c r="G244" i="48"/>
  <c r="H244" i="48"/>
  <c r="B245" i="48"/>
  <c r="C245" i="48"/>
  <c r="D245" i="48"/>
  <c r="E245" i="48"/>
  <c r="F245" i="48"/>
  <c r="G245" i="48"/>
  <c r="H245" i="48"/>
  <c r="B246" i="48"/>
  <c r="C246" i="48"/>
  <c r="D246" i="48"/>
  <c r="E246" i="48"/>
  <c r="F246" i="48"/>
  <c r="G246" i="48"/>
  <c r="H246" i="48"/>
  <c r="B247" i="48"/>
  <c r="C247" i="48"/>
  <c r="D247" i="48"/>
  <c r="E247" i="48"/>
  <c r="F247" i="48"/>
  <c r="G247" i="48"/>
  <c r="H247" i="48"/>
  <c r="B248" i="48"/>
  <c r="C248" i="48"/>
  <c r="D248" i="48"/>
  <c r="E248" i="48"/>
  <c r="F248" i="48"/>
  <c r="G248" i="48"/>
  <c r="H248" i="48"/>
  <c r="B249" i="48"/>
  <c r="C249" i="48"/>
  <c r="D249" i="48"/>
  <c r="E249" i="48"/>
  <c r="F249" i="48"/>
  <c r="G249" i="48"/>
  <c r="H249" i="48"/>
  <c r="B250" i="48"/>
  <c r="C250" i="48"/>
  <c r="D250" i="48"/>
  <c r="E250" i="48"/>
  <c r="F250" i="48"/>
  <c r="G250" i="48"/>
  <c r="H250" i="48"/>
  <c r="F274" i="48"/>
  <c r="F288" i="48" s="1"/>
  <c r="B288" i="48"/>
  <c r="C288" i="48"/>
  <c r="D288" i="48"/>
  <c r="E288" i="48"/>
  <c r="G288" i="48"/>
  <c r="H288" i="48"/>
  <c r="L41" i="36" l="1"/>
  <c r="D252" i="48"/>
  <c r="B252" i="48"/>
  <c r="G252" i="48"/>
  <c r="C252" i="48"/>
  <c r="F252" i="48"/>
  <c r="E252" i="48"/>
  <c r="H252" i="48"/>
  <c r="L43" i="78"/>
  <c r="L44" i="77"/>
</calcChain>
</file>

<file path=xl/sharedStrings.xml><?xml version="1.0" encoding="utf-8"?>
<sst xmlns="http://schemas.openxmlformats.org/spreadsheetml/2006/main" count="162" uniqueCount="32">
  <si>
    <t xml:space="preserve">DÍA / planta </t>
  </si>
  <si>
    <t>BARRANQUILLA</t>
  </si>
  <si>
    <t>BELLO</t>
  </si>
  <si>
    <t>GASEOSAS LUX BLOMAX 8-1</t>
  </si>
  <si>
    <t>GASEOSAS LUX BLOMAX 8-3</t>
  </si>
  <si>
    <t>GASEOSAS LUX BLOMAX 14</t>
  </si>
  <si>
    <t>GASEOSAS LUX KRONES</t>
  </si>
  <si>
    <t>YUMBO LINEA HOT FILL</t>
  </si>
  <si>
    <t>YUMBO BLOMAX 20</t>
  </si>
  <si>
    <t xml:space="preserve">TOTAL MIN PERDIDO </t>
  </si>
  <si>
    <t>BLOMAX 8-1</t>
  </si>
  <si>
    <t>BLOMAX 8-3</t>
  </si>
  <si>
    <t xml:space="preserve"> BLOMAX 14</t>
  </si>
  <si>
    <t>KRONES</t>
  </si>
  <si>
    <t>HOT FILL</t>
  </si>
  <si>
    <t>BLOMAX 20</t>
  </si>
  <si>
    <t>CCM 01</t>
  </si>
  <si>
    <t>CCM 02</t>
  </si>
  <si>
    <t>CCM 03</t>
  </si>
  <si>
    <t>CCM 04</t>
  </si>
  <si>
    <t>CCM 05</t>
  </si>
  <si>
    <t>CCM 06</t>
  </si>
  <si>
    <t>CCM 07</t>
  </si>
  <si>
    <t>CCM 08</t>
  </si>
  <si>
    <t>PMV 02</t>
  </si>
  <si>
    <t>PMV 04</t>
  </si>
  <si>
    <t>Falla No</t>
  </si>
  <si>
    <t>DESCRIPCIÓN PARADA</t>
  </si>
  <si>
    <t xml:space="preserve">TRABAJO REALIZADO </t>
  </si>
  <si>
    <t>TIEMPO PERDIDO (MIN)</t>
  </si>
  <si>
    <t>N° Eventos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</si>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</sst>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h:mm:ss;@"/>
    <numFmt numFmtId="166" formatCode="_(* #,##0.00_);_(* \(#,##0.00\);_(* &quot;-&quot;??_);_(@_)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u/>
      <sz val="11"/>
      <color indexed="12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3"/>
      <color indexed="10"/>
      <name val="Calibri"/>
      <family val="2"/>
    </font>
    <font>
      <b/>
      <sz val="14"/>
      <color indexed="62"/>
      <name val="Calibri"/>
      <family val="2"/>
    </font>
    <font>
      <sz val="14"/>
      <color indexed="12"/>
      <name val="Calibri"/>
      <family val="2"/>
    </font>
    <font>
      <b/>
      <sz val="16"/>
      <color indexed="62"/>
      <name val="Calibri"/>
      <family val="2"/>
    </font>
    <font>
      <sz val="16"/>
      <color indexed="12"/>
      <name val="Calibri"/>
      <family val="2"/>
    </font>
    <font>
      <b/>
      <sz val="18"/>
      <name val="Calibri"/>
      <family val="2"/>
    </font>
    <font>
      <u/>
      <sz val="8"/>
      <color indexed="12"/>
      <name val="Calibri"/>
      <family val="2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indexed="10"/>
      <name val="Arial"/>
      <family val="2"/>
    </font>
    <font>
      <b/>
      <sz val="12"/>
      <name val="Calibri"/>
      <family val="2"/>
      <scheme val="minor"/>
    </font>
    <font>
      <sz val="12"/>
      <color indexed="12"/>
      <name val="Arial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2"/>
      <color rgb="FFFF0000"/>
      <name val="Calibri"/>
      <family val="2"/>
      <scheme val="minor"/>
    </font>
    <font>
      <b/>
      <sz val="10"/>
      <name val="Arial monospaced for SAP"/>
      <family val="3"/>
    </font>
    <font>
      <sz val="10"/>
      <color indexed="8"/>
      <name val="Arial monospaced for SAP"/>
      <family val="3"/>
    </font>
    <font>
      <sz val="10"/>
      <name val="Arial monospaced for SAP"/>
      <family val="3"/>
    </font>
    <font>
      <b/>
      <sz val="10"/>
      <color rgb="FFFF0000"/>
      <name val="Arial monospaced for SAP"/>
      <family val="3"/>
    </font>
    <font>
      <sz val="10"/>
      <color theme="1"/>
      <name val="Arial monospaced for SAP"/>
      <family val="3"/>
    </font>
    <font>
      <sz val="10"/>
      <name val="Arial monospaced for SAP"/>
    </font>
    <font>
      <b/>
      <sz val="10"/>
      <name val="Arial monospaced for SAP"/>
    </font>
    <font>
      <b/>
      <sz val="10"/>
      <color theme="1"/>
      <name val="Arial monospaced for SAP"/>
    </font>
    <font>
      <b/>
      <sz val="10"/>
      <color rgb="FFFF0000"/>
      <name val="Arial monospaced for SAP"/>
    </font>
    <font>
      <b/>
      <sz val="10"/>
      <color indexed="8"/>
      <name val="Arial monospaced for SAP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99FFCC"/>
        <bgColor indexed="64"/>
      </patternFill>
    </fill>
  </fills>
  <borders count="18">
    <border>
      <left/>
      <right/>
      <top/>
      <bottom/>
      <diagonal/>
    </border>
    <border>
      <left style="double">
        <color indexed="53"/>
      </left>
      <right style="double">
        <color indexed="53"/>
      </right>
      <top/>
      <bottom style="thin">
        <color indexed="64"/>
      </bottom>
      <diagonal/>
    </border>
    <border>
      <left style="double">
        <color indexed="53"/>
      </left>
      <right style="double">
        <color indexed="53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 style="double">
        <color indexed="53"/>
      </bottom>
      <diagonal/>
    </border>
    <border>
      <left/>
      <right/>
      <top style="thin">
        <color indexed="64"/>
      </top>
      <bottom/>
      <diagonal/>
    </border>
    <border>
      <left style="double">
        <color indexed="53"/>
      </left>
      <right style="double">
        <color indexed="53"/>
      </right>
      <top style="thin">
        <color indexed="64"/>
      </top>
      <bottom style="double">
        <color indexed="53"/>
      </bottom>
      <diagonal/>
    </border>
    <border>
      <left style="double">
        <color theme="9" tint="-0.24994659260841701"/>
      </left>
      <right style="double">
        <color theme="9" tint="-0.24994659260841701"/>
      </right>
      <top/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/>
      <diagonal/>
    </border>
    <border>
      <left style="double">
        <color theme="9" tint="-0.24994659260841701"/>
      </left>
      <right style="double">
        <color theme="9" tint="-0.24994659260841701"/>
      </right>
      <top style="double">
        <color theme="9" tint="-0.24994659260841701"/>
      </top>
      <bottom style="double">
        <color theme="9" tint="-0.24994659260841701"/>
      </bottom>
      <diagonal/>
    </border>
    <border>
      <left style="double">
        <color theme="9" tint="-0.24994659260841701"/>
      </left>
      <right style="double">
        <color theme="9" tint="-0.24994659260841701"/>
      </right>
      <top/>
      <bottom/>
      <diagonal/>
    </border>
    <border>
      <left style="double">
        <color theme="9" tint="-0.24994659260841701"/>
      </left>
      <right style="double">
        <color theme="9" tint="-0.24994659260841701"/>
      </right>
      <top style="double">
        <color theme="9" tint="-0.24994659260841701"/>
      </top>
      <bottom style="thin">
        <color indexed="64"/>
      </bottom>
      <diagonal/>
    </border>
    <border>
      <left style="double">
        <color theme="9" tint="-0.24994659260841701"/>
      </left>
      <right style="double">
        <color theme="9" tint="-0.24994659260841701"/>
      </right>
      <top style="thin">
        <color indexed="64"/>
      </top>
      <bottom style="double">
        <color theme="9" tint="-0.24994659260841701"/>
      </bottom>
      <diagonal/>
    </border>
    <border>
      <left style="double">
        <color theme="9" tint="-0.24994659260841701"/>
      </left>
      <right style="double">
        <color theme="9" tint="-0.24994659260841701"/>
      </right>
      <top style="double">
        <color theme="9" tint="-0.24994659260841701"/>
      </top>
      <bottom/>
      <diagonal/>
    </border>
    <border>
      <left style="double">
        <color theme="9" tint="-0.24994659260841701"/>
      </left>
      <right style="double">
        <color theme="9" tint="-0.24994659260841701"/>
      </right>
      <top/>
      <bottom style="double">
        <color theme="9" tint="-0.24994659260841701"/>
      </bottom>
      <diagonal/>
    </border>
    <border>
      <left style="double">
        <color theme="9" tint="-0.24994659260841701"/>
      </left>
      <right style="double">
        <color indexed="53"/>
      </right>
      <top style="thin">
        <color indexed="64"/>
      </top>
      <bottom style="thin">
        <color indexed="64"/>
      </bottom>
      <diagonal/>
    </border>
    <border>
      <left style="double">
        <color indexed="53"/>
      </left>
      <right style="double">
        <color indexed="53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21" fillId="0" borderId="0" applyFont="0" applyFill="0" applyBorder="0" applyAlignment="0" applyProtection="0"/>
    <xf numFmtId="165" fontId="1" fillId="5" borderId="8">
      <alignment horizontal="center" vertical="center" wrapText="1"/>
      <protection locked="0"/>
    </xf>
    <xf numFmtId="166" fontId="21" fillId="0" borderId="0" applyFont="0" applyFill="0" applyBorder="0" applyAlignment="0" applyProtection="0"/>
  </cellStyleXfs>
  <cellXfs count="136">
    <xf numFmtId="0" fontId="0" fillId="0" borderId="0" xfId="0"/>
    <xf numFmtId="0" fontId="0" fillId="2" borderId="0" xfId="0" applyFill="1"/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center" vertical="center" wrapText="1"/>
      <protection locked="0"/>
    </xf>
    <xf numFmtId="0" fontId="0" fillId="3" borderId="0" xfId="0" applyFill="1"/>
    <xf numFmtId="0" fontId="5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/>
    </xf>
    <xf numFmtId="1" fontId="7" fillId="3" borderId="4" xfId="0" applyNumberFormat="1" applyFont="1" applyFill="1" applyBorder="1" applyAlignment="1">
      <alignment horizontal="center"/>
    </xf>
    <xf numFmtId="15" fontId="10" fillId="2" borderId="7" xfId="0" applyNumberFormat="1" applyFont="1" applyFill="1" applyBorder="1" applyAlignment="1">
      <alignment horizontal="center" vertical="center" wrapText="1"/>
    </xf>
    <xf numFmtId="1" fontId="11" fillId="2" borderId="7" xfId="0" applyNumberFormat="1" applyFont="1" applyFill="1" applyBorder="1" applyAlignment="1">
      <alignment horizontal="center" vertical="center" wrapText="1"/>
    </xf>
    <xf numFmtId="15" fontId="10" fillId="2" borderId="8" xfId="0" applyNumberFormat="1" applyFont="1" applyFill="1" applyBorder="1" applyAlignment="1">
      <alignment horizontal="center" vertical="center" wrapText="1"/>
    </xf>
    <xf numFmtId="1" fontId="11" fillId="2" borderId="8" xfId="0" applyNumberFormat="1" applyFont="1" applyFill="1" applyBorder="1" applyAlignment="1">
      <alignment horizontal="center" vertical="center" wrapText="1"/>
    </xf>
    <xf numFmtId="1" fontId="11" fillId="2" borderId="9" xfId="0" applyNumberFormat="1" applyFont="1" applyFill="1" applyBorder="1" applyAlignment="1">
      <alignment horizontal="center" vertical="center" wrapText="1"/>
    </xf>
    <xf numFmtId="15" fontId="8" fillId="2" borderId="10" xfId="0" applyNumberFormat="1" applyFont="1" applyFill="1" applyBorder="1" applyAlignment="1">
      <alignment horizontal="center" vertical="center" wrapText="1"/>
    </xf>
    <xf numFmtId="1" fontId="12" fillId="2" borderId="10" xfId="0" applyNumberFormat="1" applyFont="1" applyFill="1" applyBorder="1" applyAlignment="1">
      <alignment horizontal="center" vertical="center" wrapText="1"/>
    </xf>
    <xf numFmtId="15" fontId="10" fillId="2" borderId="9" xfId="0" applyNumberFormat="1" applyFont="1" applyFill="1" applyBorder="1" applyAlignment="1">
      <alignment horizontal="center" vertical="center" wrapText="1"/>
    </xf>
    <xf numFmtId="15" fontId="8" fillId="2" borderId="0" xfId="0" applyNumberFormat="1" applyFont="1" applyFill="1" applyAlignment="1">
      <alignment horizontal="center" vertical="center" wrapText="1"/>
    </xf>
    <xf numFmtId="1" fontId="12" fillId="2" borderId="0" xfId="0" applyNumberFormat="1" applyFont="1" applyFill="1" applyAlignment="1">
      <alignment horizontal="center" vertical="center" wrapText="1"/>
    </xf>
    <xf numFmtId="15" fontId="10" fillId="3" borderId="7" xfId="0" applyNumberFormat="1" applyFont="1" applyFill="1" applyBorder="1" applyAlignment="1">
      <alignment horizontal="center" vertical="center" wrapText="1"/>
    </xf>
    <xf numFmtId="1" fontId="11" fillId="3" borderId="7" xfId="0" applyNumberFormat="1" applyFont="1" applyFill="1" applyBorder="1" applyAlignment="1">
      <alignment horizontal="center" vertical="center" wrapText="1"/>
    </xf>
    <xf numFmtId="15" fontId="10" fillId="3" borderId="8" xfId="0" applyNumberFormat="1" applyFont="1" applyFill="1" applyBorder="1" applyAlignment="1">
      <alignment horizontal="center" vertical="center" wrapText="1"/>
    </xf>
    <xf numFmtId="1" fontId="11" fillId="3" borderId="8" xfId="0" applyNumberFormat="1" applyFont="1" applyFill="1" applyBorder="1" applyAlignment="1">
      <alignment horizontal="center" vertical="center" wrapText="1"/>
    </xf>
    <xf numFmtId="1" fontId="11" fillId="3" borderId="9" xfId="0" applyNumberFormat="1" applyFont="1" applyFill="1" applyBorder="1" applyAlignment="1">
      <alignment horizontal="center" vertical="center" wrapText="1"/>
    </xf>
    <xf numFmtId="15" fontId="8" fillId="3" borderId="10" xfId="0" applyNumberFormat="1" applyFont="1" applyFill="1" applyBorder="1" applyAlignment="1">
      <alignment horizontal="center" vertical="center" wrapText="1"/>
    </xf>
    <xf numFmtId="1" fontId="12" fillId="3" borderId="10" xfId="0" applyNumberFormat="1" applyFont="1" applyFill="1" applyBorder="1" applyAlignment="1">
      <alignment horizontal="center" vertical="center" wrapText="1"/>
    </xf>
    <xf numFmtId="1" fontId="9" fillId="2" borderId="0" xfId="0" applyNumberFormat="1" applyFont="1" applyFill="1" applyAlignment="1">
      <alignment horizontal="center" vertical="center" wrapText="1"/>
    </xf>
    <xf numFmtId="1" fontId="11" fillId="2" borderId="11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14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3" fillId="4" borderId="0" xfId="1" applyFont="1" applyFill="1" applyAlignment="1" applyProtection="1">
      <alignment horizontal="center"/>
    </xf>
    <xf numFmtId="0" fontId="3" fillId="4" borderId="0" xfId="1" applyFill="1" applyAlignment="1" applyProtection="1">
      <alignment horizontal="center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1" fontId="6" fillId="3" borderId="5" xfId="0" applyNumberFormat="1" applyFont="1" applyFill="1" applyBorder="1" applyAlignment="1" applyProtection="1">
      <alignment horizontal="center" vertical="center" wrapText="1"/>
      <protection locked="0"/>
    </xf>
    <xf numFmtId="2" fontId="0" fillId="3" borderId="0" xfId="0" applyNumberFormat="1" applyFill="1"/>
    <xf numFmtId="2" fontId="0" fillId="3" borderId="0" xfId="0" applyNumberFormat="1" applyFill="1" applyAlignment="1">
      <alignment horizontal="center"/>
    </xf>
    <xf numFmtId="1" fontId="0" fillId="3" borderId="0" xfId="0" applyNumberFormat="1" applyFill="1"/>
    <xf numFmtId="0" fontId="16" fillId="3" borderId="0" xfId="0" applyFont="1" applyFill="1"/>
    <xf numFmtId="0" fontId="15" fillId="3" borderId="4" xfId="0" applyFont="1" applyFill="1" applyBorder="1" applyAlignment="1">
      <alignment horizontal="center"/>
    </xf>
    <xf numFmtId="1" fontId="17" fillId="3" borderId="4" xfId="0" applyNumberFormat="1" applyFont="1" applyFill="1" applyBorder="1" applyAlignment="1">
      <alignment horizontal="center"/>
    </xf>
    <xf numFmtId="0" fontId="18" fillId="3" borderId="4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 applyProtection="1">
      <alignment horizontal="center" vertical="center" wrapText="1"/>
      <protection locked="0"/>
    </xf>
    <xf numFmtId="1" fontId="6" fillId="0" borderId="17" xfId="0" applyNumberFormat="1" applyFont="1" applyBorder="1" applyAlignment="1" applyProtection="1">
      <alignment horizontal="center" vertical="center" wrapText="1"/>
      <protection locked="0"/>
    </xf>
    <xf numFmtId="1" fontId="14" fillId="0" borderId="17" xfId="0" applyNumberFormat="1" applyFont="1" applyBorder="1" applyAlignment="1" applyProtection="1">
      <alignment horizontal="center" vertical="center" wrapText="1"/>
      <protection locked="0"/>
    </xf>
    <xf numFmtId="1" fontId="0" fillId="2" borderId="0" xfId="0" applyNumberFormat="1" applyFill="1"/>
    <xf numFmtId="0" fontId="0" fillId="0" borderId="6" xfId="0" applyBorder="1" applyAlignment="1">
      <alignment horizontal="center" vertical="center"/>
    </xf>
    <xf numFmtId="1" fontId="6" fillId="3" borderId="16" xfId="0" applyNumberFormat="1" applyFont="1" applyFill="1" applyBorder="1" applyAlignment="1" applyProtection="1">
      <alignment horizontal="center" vertical="center" wrapText="1"/>
      <protection locked="0"/>
    </xf>
    <xf numFmtId="1" fontId="14" fillId="0" borderId="16" xfId="0" applyNumberFormat="1" applyFont="1" applyBorder="1" applyAlignment="1" applyProtection="1">
      <alignment horizontal="center" vertical="center" wrapText="1"/>
      <protection locked="0"/>
    </xf>
    <xf numFmtId="1" fontId="19" fillId="2" borderId="8" xfId="1" applyNumberFormat="1" applyFont="1" applyFill="1" applyBorder="1" applyAlignment="1" applyProtection="1">
      <alignment horizontal="center" vertical="center" wrapText="1"/>
    </xf>
    <xf numFmtId="1" fontId="20" fillId="0" borderId="8" xfId="0" applyNumberFormat="1" applyFont="1" applyBorder="1" applyAlignment="1" applyProtection="1">
      <alignment horizontal="center" vertical="center" wrapText="1"/>
      <protection locked="0"/>
    </xf>
    <xf numFmtId="21" fontId="22" fillId="0" borderId="8" xfId="0" applyNumberFormat="1" applyFont="1" applyBorder="1" applyAlignment="1" applyProtection="1">
      <alignment horizontal="center" vertical="center" wrapText="1"/>
      <protection locked="0"/>
    </xf>
    <xf numFmtId="1" fontId="24" fillId="2" borderId="0" xfId="0" applyNumberFormat="1" applyFont="1" applyFill="1"/>
    <xf numFmtId="1" fontId="4" fillId="0" borderId="8" xfId="0" applyNumberFormat="1" applyFont="1" applyBorder="1" applyAlignment="1" applyProtection="1">
      <alignment horizontal="center" vertical="center"/>
      <protection locked="0"/>
    </xf>
    <xf numFmtId="1" fontId="20" fillId="0" borderId="8" xfId="0" applyNumberFormat="1" applyFont="1" applyBorder="1" applyAlignment="1" applyProtection="1">
      <alignment horizontal="center" vertical="center"/>
      <protection locked="0"/>
    </xf>
    <xf numFmtId="1" fontId="4" fillId="0" borderId="8" xfId="0" applyNumberFormat="1" applyFont="1" applyBorder="1" applyAlignment="1" applyProtection="1">
      <alignment horizontal="center" vertical="center" wrapText="1"/>
      <protection locked="0"/>
    </xf>
    <xf numFmtId="1" fontId="19" fillId="2" borderId="7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2" xfId="0" applyFont="1" applyBorder="1" applyAlignment="1" applyProtection="1">
      <alignment horizontal="center" vertical="center" wrapText="1"/>
      <protection locked="0"/>
    </xf>
    <xf numFmtId="0" fontId="26" fillId="0" borderId="3" xfId="0" applyFont="1" applyBorder="1" applyAlignment="1" applyProtection="1">
      <alignment horizontal="center" vertical="center" wrapText="1"/>
      <protection locked="0"/>
    </xf>
    <xf numFmtId="1" fontId="27" fillId="0" borderId="2" xfId="0" applyNumberFormat="1" applyFont="1" applyBorder="1" applyAlignment="1" applyProtection="1">
      <alignment horizontal="center" vertical="center" wrapText="1"/>
      <protection locked="0"/>
    </xf>
    <xf numFmtId="0" fontId="25" fillId="0" borderId="2" xfId="0" applyFont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6" fillId="0" borderId="8" xfId="0" applyFont="1" applyBorder="1" applyAlignment="1" applyProtection="1">
      <alignment horizontal="center" vertical="center" wrapText="1"/>
      <protection locked="0"/>
    </xf>
    <xf numFmtId="1" fontId="27" fillId="0" borderId="8" xfId="0" applyNumberFormat="1" applyFont="1" applyBorder="1" applyAlignment="1" applyProtection="1">
      <alignment horizontal="center" vertical="center" wrapText="1"/>
      <protection locked="0"/>
    </xf>
    <xf numFmtId="0" fontId="25" fillId="3" borderId="2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 applyProtection="1">
      <alignment horizontal="center" vertical="center" wrapText="1"/>
      <protection locked="0"/>
    </xf>
    <xf numFmtId="0" fontId="27" fillId="3" borderId="3" xfId="0" applyFont="1" applyFill="1" applyBorder="1" applyAlignment="1" applyProtection="1">
      <alignment horizontal="center" vertical="center" wrapText="1"/>
      <protection locked="0"/>
    </xf>
    <xf numFmtId="1" fontId="27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9" fillId="0" borderId="8" xfId="0" applyFont="1" applyBorder="1" applyAlignment="1" applyProtection="1">
      <alignment horizontal="center" vertical="center" wrapText="1"/>
      <protection locked="0"/>
    </xf>
    <xf numFmtId="0" fontId="27" fillId="0" borderId="1" xfId="0" applyFont="1" applyBorder="1" applyAlignment="1">
      <alignment horizontal="center" vertical="center" wrapText="1"/>
    </xf>
    <xf numFmtId="1" fontId="27" fillId="0" borderId="1" xfId="0" applyNumberFormat="1" applyFont="1" applyBorder="1" applyAlignment="1" applyProtection="1">
      <alignment horizontal="center" vertical="center"/>
      <protection locked="0"/>
    </xf>
    <xf numFmtId="1" fontId="29" fillId="0" borderId="2" xfId="0" applyNumberFormat="1" applyFont="1" applyBorder="1" applyAlignment="1" applyProtection="1">
      <alignment horizontal="center" vertical="center" wrapText="1"/>
      <protection locked="0"/>
    </xf>
    <xf numFmtId="1" fontId="27" fillId="0" borderId="8" xfId="0" applyNumberFormat="1" applyFont="1" applyBorder="1" applyAlignment="1" applyProtection="1">
      <alignment horizontal="center" vertical="center"/>
      <protection locked="0"/>
    </xf>
    <xf numFmtId="21" fontId="29" fillId="0" borderId="8" xfId="0" applyNumberFormat="1" applyFont="1" applyBorder="1" applyAlignment="1" applyProtection="1">
      <alignment horizontal="center" vertical="center" wrapText="1"/>
      <protection locked="0"/>
    </xf>
    <xf numFmtId="0" fontId="27" fillId="0" borderId="8" xfId="0" applyFont="1" applyBorder="1" applyAlignment="1">
      <alignment horizontal="center" vertical="center" wrapText="1"/>
    </xf>
    <xf numFmtId="1" fontId="28" fillId="0" borderId="8" xfId="0" applyNumberFormat="1" applyFont="1" applyBorder="1" applyAlignment="1" applyProtection="1">
      <alignment horizontal="center" vertical="center"/>
      <protection locked="0"/>
    </xf>
    <xf numFmtId="1" fontId="28" fillId="0" borderId="8" xfId="0" applyNumberFormat="1" applyFont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>
      <alignment horizontal="center" vertical="center" wrapText="1"/>
    </xf>
    <xf numFmtId="1" fontId="27" fillId="0" borderId="1" xfId="0" applyNumberFormat="1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 applyProtection="1">
      <alignment horizontal="center" vertical="center" wrapText="1"/>
      <protection locked="0"/>
    </xf>
    <xf numFmtId="0" fontId="29" fillId="3" borderId="2" xfId="0" applyFont="1" applyFill="1" applyBorder="1" applyAlignment="1">
      <alignment horizontal="center" vertical="center" wrapText="1"/>
    </xf>
    <xf numFmtId="0" fontId="26" fillId="0" borderId="3" xfId="0" applyFont="1" applyBorder="1" applyAlignment="1" applyProtection="1">
      <alignment horizontal="left" vertical="center" wrapText="1"/>
      <protection locked="0"/>
    </xf>
    <xf numFmtId="0" fontId="28" fillId="0" borderId="8" xfId="0" applyFont="1" applyBorder="1" applyAlignment="1">
      <alignment horizontal="center" vertical="center" wrapText="1"/>
    </xf>
    <xf numFmtId="1" fontId="27" fillId="3" borderId="17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2" xfId="0" applyFont="1" applyBorder="1" applyAlignment="1" applyProtection="1">
      <alignment horizontal="center" vertical="center" wrapText="1"/>
      <protection locked="0"/>
    </xf>
    <xf numFmtId="0" fontId="27" fillId="0" borderId="8" xfId="0" applyFont="1" applyBorder="1" applyAlignment="1" applyProtection="1">
      <alignment horizontal="center" vertical="center"/>
      <protection locked="0"/>
    </xf>
    <xf numFmtId="0" fontId="27" fillId="0" borderId="2" xfId="0" applyFont="1" applyBorder="1" applyAlignment="1">
      <alignment horizontal="left" vertical="center" wrapText="1"/>
    </xf>
    <xf numFmtId="0" fontId="23" fillId="0" borderId="8" xfId="0" applyFont="1" applyBorder="1" applyAlignment="1" applyProtection="1">
      <alignment horizontal="center" vertical="center" wrapText="1"/>
      <protection locked="0"/>
    </xf>
    <xf numFmtId="0" fontId="27" fillId="0" borderId="8" xfId="0" applyFont="1" applyBorder="1" applyAlignment="1">
      <alignment vertical="center" wrapText="1"/>
    </xf>
    <xf numFmtId="1" fontId="4" fillId="0" borderId="2" xfId="0" applyNumberFormat="1" applyFont="1" applyBorder="1" applyAlignment="1" applyProtection="1">
      <alignment horizontal="center" vertical="center" wrapText="1"/>
      <protection locked="0"/>
    </xf>
    <xf numFmtId="0" fontId="26" fillId="0" borderId="3" xfId="0" applyFont="1" applyBorder="1" applyAlignment="1" applyProtection="1">
      <alignment vertical="center" wrapText="1"/>
      <protection locked="0"/>
    </xf>
    <xf numFmtId="0" fontId="26" fillId="0" borderId="8" xfId="0" applyFont="1" applyBorder="1" applyAlignment="1" applyProtection="1">
      <alignment horizontal="left" vertical="center" wrapText="1"/>
      <protection locked="0"/>
    </xf>
    <xf numFmtId="0" fontId="27" fillId="3" borderId="2" xfId="0" applyFont="1" applyFill="1" applyBorder="1" applyAlignment="1">
      <alignment horizontal="center" vertical="center" wrapText="1"/>
    </xf>
    <xf numFmtId="1" fontId="27" fillId="3" borderId="8" xfId="0" applyNumberFormat="1" applyFont="1" applyFill="1" applyBorder="1" applyAlignment="1" applyProtection="1">
      <alignment horizontal="center" vertical="center"/>
      <protection locked="0"/>
    </xf>
    <xf numFmtId="0" fontId="27" fillId="3" borderId="2" xfId="0" applyFont="1" applyFill="1" applyBorder="1" applyAlignment="1" applyProtection="1">
      <alignment horizontal="center" vertical="center"/>
      <protection locked="0"/>
    </xf>
    <xf numFmtId="0" fontId="27" fillId="0" borderId="8" xfId="0" applyFont="1" applyBorder="1" applyAlignment="1">
      <alignment horizontal="left" vertical="center" wrapText="1"/>
    </xf>
    <xf numFmtId="1" fontId="27" fillId="0" borderId="2" xfId="0" applyNumberFormat="1" applyFont="1" applyBorder="1" applyAlignment="1" applyProtection="1">
      <alignment horizontal="left" vertical="top" wrapText="1"/>
      <protection locked="0"/>
    </xf>
    <xf numFmtId="1" fontId="27" fillId="0" borderId="8" xfId="0" applyNumberFormat="1" applyFont="1" applyBorder="1" applyAlignment="1" applyProtection="1">
      <alignment horizontal="left" vertical="center" wrapText="1"/>
      <protection locked="0"/>
    </xf>
    <xf numFmtId="0" fontId="31" fillId="0" borderId="2" xfId="0" applyFont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2" fillId="0" borderId="8" xfId="0" applyFont="1" applyBorder="1" applyAlignment="1" applyProtection="1">
      <alignment horizontal="center" vertical="center" wrapText="1"/>
      <protection locked="0"/>
    </xf>
    <xf numFmtId="0" fontId="33" fillId="0" borderId="2" xfId="0" applyFont="1" applyBorder="1" applyAlignment="1">
      <alignment horizontal="center" vertical="center" wrapText="1"/>
    </xf>
    <xf numFmtId="1" fontId="20" fillId="0" borderId="2" xfId="0" applyNumberFormat="1" applyFont="1" applyBorder="1" applyAlignment="1" applyProtection="1">
      <alignment horizontal="center" vertical="center" wrapText="1"/>
      <protection locked="0"/>
    </xf>
    <xf numFmtId="0" fontId="20" fillId="0" borderId="8" xfId="0" applyFont="1" applyBorder="1" applyAlignment="1" applyProtection="1">
      <alignment horizontal="center" vertical="center" wrapText="1"/>
      <protection locked="0"/>
    </xf>
    <xf numFmtId="0" fontId="33" fillId="0" borderId="8" xfId="0" applyFont="1" applyBorder="1" applyAlignment="1" applyProtection="1">
      <alignment horizontal="center" vertical="center"/>
      <protection locked="0"/>
    </xf>
    <xf numFmtId="0" fontId="33" fillId="0" borderId="8" xfId="0" applyFont="1" applyBorder="1" applyAlignment="1">
      <alignment horizontal="center" vertical="center" wrapText="1"/>
    </xf>
    <xf numFmtId="1" fontId="33" fillId="0" borderId="8" xfId="0" applyNumberFormat="1" applyFont="1" applyBorder="1" applyAlignment="1" applyProtection="1">
      <alignment horizontal="center" vertical="center" wrapText="1"/>
      <protection locked="0"/>
    </xf>
    <xf numFmtId="0" fontId="31" fillId="0" borderId="1" xfId="0" applyFont="1" applyBorder="1" applyAlignment="1">
      <alignment horizontal="center" vertical="center" wrapText="1"/>
    </xf>
    <xf numFmtId="1" fontId="31" fillId="0" borderId="1" xfId="0" applyNumberFormat="1" applyFont="1" applyBorder="1" applyAlignment="1" applyProtection="1">
      <alignment horizontal="center" vertical="center" wrapText="1"/>
      <protection locked="0"/>
    </xf>
    <xf numFmtId="0" fontId="33" fillId="3" borderId="2" xfId="0" applyFont="1" applyFill="1" applyBorder="1" applyAlignment="1" applyProtection="1">
      <alignment horizontal="center" vertical="center"/>
      <protection locked="0"/>
    </xf>
    <xf numFmtId="0" fontId="33" fillId="3" borderId="8" xfId="0" applyFont="1" applyFill="1" applyBorder="1" applyAlignment="1" applyProtection="1">
      <alignment horizontal="center" vertical="center"/>
      <protection locked="0"/>
    </xf>
    <xf numFmtId="1" fontId="32" fillId="0" borderId="16" xfId="0" applyNumberFormat="1" applyFont="1" applyBorder="1" applyAlignment="1" applyProtection="1">
      <alignment horizontal="center" vertical="center" wrapText="1"/>
      <protection locked="0"/>
    </xf>
    <xf numFmtId="1" fontId="31" fillId="0" borderId="16" xfId="0" applyNumberFormat="1" applyFont="1" applyBorder="1" applyAlignment="1" applyProtection="1">
      <alignment horizontal="center" vertical="center"/>
      <protection locked="0"/>
    </xf>
    <xf numFmtId="0" fontId="31" fillId="0" borderId="2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>
      <alignment horizontal="center" vertical="center" wrapText="1"/>
    </xf>
    <xf numFmtId="1" fontId="31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31" fillId="3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 applyProtection="1">
      <alignment horizontal="center" vertical="center" wrapText="1"/>
      <protection locked="0"/>
    </xf>
    <xf numFmtId="0" fontId="34" fillId="0" borderId="2" xfId="0" applyFont="1" applyBorder="1" applyAlignment="1" applyProtection="1">
      <alignment horizontal="center" vertical="center" wrapText="1"/>
      <protection locked="0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3" fillId="2" borderId="14" xfId="1" applyFill="1" applyBorder="1" applyAlignment="1" applyProtection="1">
      <alignment horizontal="center" vertical="center" wrapText="1"/>
    </xf>
    <xf numFmtId="0" fontId="3" fillId="2" borderId="15" xfId="1" applyFill="1" applyBorder="1" applyAlignment="1" applyProtection="1">
      <alignment horizontal="center" vertical="center" wrapText="1"/>
    </xf>
    <xf numFmtId="1" fontId="3" fillId="4" borderId="0" xfId="1" applyNumberFormat="1" applyFill="1" applyBorder="1" applyAlignment="1" applyProtection="1">
      <alignment horizontal="center" vertical="center" wrapText="1"/>
    </xf>
  </cellXfs>
  <cellStyles count="5">
    <cellStyle name="Estilo 1" xfId="3" xr:uid="{00000000-0005-0000-0000-000000000000}"/>
    <cellStyle name="Hipervínculo" xfId="1" builtinId="8"/>
    <cellStyle name="Millares 2" xfId="4" xr:uid="{00000000-0005-0000-0000-000002000000}"/>
    <cellStyle name="Moneda 2" xfId="2" xr:uid="{00000000-0005-0000-0000-000003000000}"/>
    <cellStyle name="Normal" xfId="0" builtinId="0"/>
  </cellStyles>
  <dxfs count="4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433835980554164E-2"/>
          <c:y val="0.10491358429628873"/>
          <c:w val="0.78620153590321906"/>
          <c:h val="0.77520852855513145"/>
        </c:manualLayout>
      </c:layout>
      <c:lineChart>
        <c:grouping val="standard"/>
        <c:varyColors val="0"/>
        <c:ser>
          <c:idx val="0"/>
          <c:order val="0"/>
          <c:tx>
            <c:v>ABRIL</c:v>
          </c:tx>
          <c:spPr>
            <a:ln w="0">
              <a:solidFill>
                <a:srgbClr val="FFC000"/>
              </a:solidFill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dLbls>
            <c:dLbl>
              <c:idx val="0"/>
              <c:layout>
                <c:manualLayout>
                  <c:x val="-2.7819174924891017E-3"/>
                  <c:y val="-2.98850574712644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C2-4704-A653-256F89F1EB44}"/>
                </c:ext>
              </c:extLst>
            </c:dLbl>
            <c:dLbl>
              <c:idx val="3"/>
              <c:layout>
                <c:manualLayout>
                  <c:x val="-9.7367112237118133E-3"/>
                  <c:y val="-2.98850574712643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C2-4704-A653-256F89F1EB44}"/>
                </c:ext>
              </c:extLst>
            </c:dLbl>
            <c:dLbl>
              <c:idx val="5"/>
              <c:layout>
                <c:manualLayout>
                  <c:x val="1.3909587462445502E-3"/>
                  <c:y val="-1.14942528735632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C2-4704-A653-256F89F1EB44}"/>
                </c:ext>
              </c:extLst>
            </c:dLbl>
            <c:dLbl>
              <c:idx val="10"/>
              <c:layout>
                <c:manualLayout>
                  <c:x val="-5.5638349849781929E-3"/>
                  <c:y val="-2.52873563218391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C2-4704-A653-256F89F1EB44}"/>
                </c:ext>
              </c:extLst>
            </c:dLbl>
            <c:dLbl>
              <c:idx val="12"/>
              <c:layout>
                <c:manualLayout>
                  <c:x val="-1.3934506721205613E-3"/>
                  <c:y val="-1.36552067464606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C2-4704-A653-256F89F1EB44}"/>
                </c:ext>
              </c:extLst>
            </c:dLbl>
            <c:dLbl>
              <c:idx val="14"/>
              <c:layout>
                <c:manualLayout>
                  <c:x val="-8.3457524774673119E-3"/>
                  <c:y val="-2.0689655172413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C2-4704-A653-256F89F1EB44}"/>
                </c:ext>
              </c:extLst>
            </c:dLbl>
            <c:dLbl>
              <c:idx val="18"/>
              <c:layout>
                <c:manualLayout>
                  <c:x val="-9.7367112237118289E-3"/>
                  <c:y val="-2.0689655172413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5C2-4704-A653-256F89F1EB44}"/>
                </c:ext>
              </c:extLst>
            </c:dLbl>
            <c:dLbl>
              <c:idx val="19"/>
              <c:layout>
                <c:manualLayout>
                  <c:x val="-6.9672533606025501E-3"/>
                  <c:y val="-2.73104134929212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5C2-4704-A653-256F89F1EB44}"/>
                </c:ext>
              </c:extLst>
            </c:dLbl>
            <c:dLbl>
              <c:idx val="21"/>
              <c:layout>
                <c:manualLayout>
                  <c:x val="-1.2518628716200937E-2"/>
                  <c:y val="-2.29885057471264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5C2-4704-A653-256F89F1EB44}"/>
                </c:ext>
              </c:extLst>
            </c:dLbl>
            <c:dLbl>
              <c:idx val="24"/>
              <c:layout>
                <c:manualLayout>
                  <c:x val="-1.8082463701179129E-2"/>
                  <c:y val="-2.0689655172413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5C2-4704-A653-256F89F1EB44}"/>
                </c:ext>
              </c:extLst>
            </c:dLbl>
            <c:dLbl>
              <c:idx val="25"/>
              <c:layout>
                <c:manualLayout>
                  <c:x val="-1.5300546208690141E-2"/>
                  <c:y val="-2.75862068965517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5C2-4704-A653-256F89F1EB44}"/>
                </c:ext>
              </c:extLst>
            </c:dLbl>
            <c:dLbl>
              <c:idx val="26"/>
              <c:layout>
                <c:manualLayout>
                  <c:x val="-9.7367112237118289E-3"/>
                  <c:y val="-2.29885057471264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5C2-4704-A653-256F89F1EB44}"/>
                </c:ext>
              </c:extLst>
            </c:dLbl>
            <c:dLbl>
              <c:idx val="27"/>
              <c:layout>
                <c:manualLayout>
                  <c:x val="-1.1127669969956493E-2"/>
                  <c:y val="-1.83908045977011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5C2-4704-A653-256F89F1EB44}"/>
                </c:ext>
              </c:extLst>
            </c:dLbl>
            <c:dLbl>
              <c:idx val="28"/>
              <c:layout>
                <c:manualLayout>
                  <c:x val="-9.7367112237118289E-3"/>
                  <c:y val="-1.60919540229885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5C2-4704-A653-256F89F1EB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TPIBPHG11!$B$43:$B$72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0</c:v>
                </c:pt>
                <c:pt idx="10">
                  <c:v>64</c:v>
                </c:pt>
                <c:pt idx="11">
                  <c:v>2</c:v>
                </c:pt>
                <c:pt idx="12">
                  <c:v>5</c:v>
                </c:pt>
                <c:pt idx="13">
                  <c:v>0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2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17</c:v>
                </c:pt>
                <c:pt idx="25">
                  <c:v>2</c:v>
                </c:pt>
                <c:pt idx="26">
                  <c:v>24</c:v>
                </c:pt>
                <c:pt idx="27">
                  <c:v>19</c:v>
                </c:pt>
                <c:pt idx="28">
                  <c:v>15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95C2-4704-A653-256F89F1EB44}"/>
            </c:ext>
          </c:extLst>
        </c:ser>
        <c:ser>
          <c:idx val="1"/>
          <c:order val="1"/>
          <c:tx>
            <c:v>Marzo</c:v>
          </c:tx>
          <c:spPr>
            <a:ln w="15875">
              <a:solidFill>
                <a:schemeClr val="tx1"/>
              </a:solidFill>
            </a:ln>
          </c:spPr>
          <c:marker>
            <c:symbol val="diamond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TPIBPHG11!$B$78:$B$108</c:f>
              <c:numCache>
                <c:formatCode>0</c:formatCode>
                <c:ptCount val="31"/>
                <c:pt idx="0">
                  <c:v>0</c:v>
                </c:pt>
                <c:pt idx="1">
                  <c:v>4</c:v>
                </c:pt>
                <c:pt idx="2">
                  <c:v>17</c:v>
                </c:pt>
                <c:pt idx="3">
                  <c:v>4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29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  <c:pt idx="15">
                  <c:v>2</c:v>
                </c:pt>
                <c:pt idx="16">
                  <c:v>0</c:v>
                </c:pt>
                <c:pt idx="17">
                  <c:v>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</c:v>
                </c:pt>
                <c:pt idx="23">
                  <c:v>2</c:v>
                </c:pt>
                <c:pt idx="24">
                  <c:v>0</c:v>
                </c:pt>
                <c:pt idx="25">
                  <c:v>4</c:v>
                </c:pt>
                <c:pt idx="26">
                  <c:v>0</c:v>
                </c:pt>
                <c:pt idx="27">
                  <c:v>2</c:v>
                </c:pt>
                <c:pt idx="28">
                  <c:v>8</c:v>
                </c:pt>
                <c:pt idx="29">
                  <c:v>5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95C2-4704-A653-256F89F1E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1660896"/>
        <c:axId val="-1471671776"/>
      </c:lineChart>
      <c:catAx>
        <c:axId val="-1471660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71776"/>
        <c:crosses val="autoZero"/>
        <c:auto val="1"/>
        <c:lblAlgn val="ctr"/>
        <c:lblOffset val="100"/>
        <c:noMultiLvlLbl val="0"/>
      </c:catAx>
      <c:valAx>
        <c:axId val="-1471671776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0896"/>
        <c:crosses val="autoZero"/>
        <c:crossBetween val="between"/>
      </c:valAx>
      <c:spPr>
        <a:ln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8786805744109577"/>
          <c:y val="0.44466430090822784"/>
          <c:w val="0.10156183063323999"/>
          <c:h val="0.1219037755677059"/>
        </c:manualLayout>
      </c:layout>
      <c:overlay val="0"/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701590524777368E-2"/>
          <c:y val="0.10074434453901794"/>
          <c:w val="0.80290421932583111"/>
          <c:h val="0.78338991600647789"/>
        </c:manualLayout>
      </c:layout>
      <c:lineChart>
        <c:grouping val="standard"/>
        <c:varyColors val="0"/>
        <c:ser>
          <c:idx val="0"/>
          <c:order val="0"/>
          <c:tx>
            <c:v>Marzo</c:v>
          </c:tx>
          <c:spPr>
            <a:ln w="6350">
              <a:solidFill>
                <a:schemeClr val="tx1"/>
              </a:solidFill>
            </a:ln>
          </c:spPr>
          <c:marker>
            <c:symbol val="circle"/>
            <c:size val="3"/>
            <c:spPr>
              <a:solidFill>
                <a:schemeClr val="tx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TPIBPHG11!$C$78:$C$108</c:f>
              <c:numCache>
                <c:formatCode>0</c:formatCode>
                <c:ptCount val="31"/>
                <c:pt idx="0">
                  <c:v>10</c:v>
                </c:pt>
                <c:pt idx="1">
                  <c:v>0</c:v>
                </c:pt>
                <c:pt idx="2">
                  <c:v>560</c:v>
                </c:pt>
                <c:pt idx="3">
                  <c:v>0</c:v>
                </c:pt>
                <c:pt idx="4">
                  <c:v>25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190</c:v>
                </c:pt>
                <c:pt idx="11">
                  <c:v>60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10</c:v>
                </c:pt>
                <c:pt idx="16">
                  <c:v>0</c:v>
                </c:pt>
                <c:pt idx="17">
                  <c:v>22</c:v>
                </c:pt>
                <c:pt idx="18">
                  <c:v>8</c:v>
                </c:pt>
                <c:pt idx="19">
                  <c:v>0</c:v>
                </c:pt>
                <c:pt idx="20">
                  <c:v>0</c:v>
                </c:pt>
                <c:pt idx="21">
                  <c:v>77</c:v>
                </c:pt>
                <c:pt idx="22">
                  <c:v>20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</c:v>
                </c:pt>
                <c:pt idx="30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6C-41F7-A35F-EC5E5F7252EC}"/>
            </c:ext>
          </c:extLst>
        </c:ser>
        <c:ser>
          <c:idx val="1"/>
          <c:order val="1"/>
          <c:tx>
            <c:v>Abril</c:v>
          </c:tx>
          <c:spPr>
            <a:ln w="19050">
              <a:solidFill>
                <a:srgbClr val="00B050"/>
              </a:solidFill>
            </a:ln>
          </c:spPr>
          <c:marker>
            <c:symbol val="diamond"/>
            <c:size val="5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 i="0" u="none" strike="noStrike" baseline="0">
                    <a:solidFill>
                      <a:srgbClr val="333399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TPIBPHG11!$C$43:$C$72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</c:v>
                </c:pt>
                <c:pt idx="5">
                  <c:v>14</c:v>
                </c:pt>
                <c:pt idx="6">
                  <c:v>7</c:v>
                </c:pt>
                <c:pt idx="7">
                  <c:v>119</c:v>
                </c:pt>
                <c:pt idx="8">
                  <c:v>20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450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6C-41F7-A35F-EC5E5F725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1672320"/>
        <c:axId val="-1471667968"/>
      </c:lineChart>
      <c:catAx>
        <c:axId val="-147167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7968"/>
        <c:crosses val="autoZero"/>
        <c:auto val="1"/>
        <c:lblAlgn val="ctr"/>
        <c:lblOffset val="100"/>
        <c:noMultiLvlLbl val="0"/>
      </c:catAx>
      <c:valAx>
        <c:axId val="-1471667968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7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624353441175508"/>
          <c:y val="0.45971989501312333"/>
          <c:w val="0.10375646558824499"/>
          <c:h val="7.9968503937007912E-2"/>
        </c:manualLayout>
      </c:layout>
      <c:overlay val="0"/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3646944010592E-2"/>
          <c:y val="0.13292131259889195"/>
          <c:w val="0.7978135554408482"/>
          <c:h val="0.76029442364172772"/>
        </c:manualLayout>
      </c:layout>
      <c:lineChart>
        <c:grouping val="standard"/>
        <c:varyColors val="0"/>
        <c:ser>
          <c:idx val="0"/>
          <c:order val="0"/>
          <c:tx>
            <c:v>Marzo</c:v>
          </c:tx>
          <c:spPr>
            <a:ln w="6350">
              <a:solidFill>
                <a:schemeClr val="tx1"/>
              </a:solidFill>
            </a:ln>
          </c:spPr>
          <c:marker>
            <c:symbol val="circle"/>
            <c:size val="3"/>
            <c:spPr>
              <a:solidFill>
                <a:schemeClr val="tx1"/>
              </a:solidFill>
              <a:ln w="6350">
                <a:solidFill>
                  <a:schemeClr val="tx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TPIBPHG11!$D$78:$D$108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57</c:v>
                </c:pt>
                <c:pt idx="7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124</c:v>
                </c:pt>
                <c:pt idx="18">
                  <c:v>30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17-440D-954F-7AB806AC0165}"/>
            </c:ext>
          </c:extLst>
        </c:ser>
        <c:ser>
          <c:idx val="1"/>
          <c:order val="1"/>
          <c:tx>
            <c:v>Abril</c:v>
          </c:tx>
          <c:spPr>
            <a:ln w="19050">
              <a:solidFill>
                <a:srgbClr val="0066FF"/>
              </a:solidFill>
            </a:ln>
          </c:spPr>
          <c:marker>
            <c:symbol val="diamond"/>
            <c:size val="5"/>
            <c:spPr>
              <a:solidFill>
                <a:srgbClr val="0066FF"/>
              </a:solidFill>
              <a:ln w="6350">
                <a:solidFill>
                  <a:srgbClr val="0066FF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 i="0" u="none" strike="noStrike" baseline="0">
                    <a:solidFill>
                      <a:srgbClr val="0066CC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TPIBPHG11!$D$43:$D$72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90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180</c:v>
                </c:pt>
                <c:pt idx="23">
                  <c:v>0</c:v>
                </c:pt>
                <c:pt idx="24">
                  <c:v>44</c:v>
                </c:pt>
                <c:pt idx="25">
                  <c:v>15</c:v>
                </c:pt>
                <c:pt idx="26">
                  <c:v>0</c:v>
                </c:pt>
                <c:pt idx="27">
                  <c:v>95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17-440D-954F-7AB806AC0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1673408"/>
        <c:axId val="-1471660352"/>
      </c:lineChart>
      <c:catAx>
        <c:axId val="-147167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0352"/>
        <c:crosses val="autoZero"/>
        <c:auto val="1"/>
        <c:lblAlgn val="ctr"/>
        <c:lblOffset val="100"/>
        <c:noMultiLvlLbl val="0"/>
      </c:catAx>
      <c:valAx>
        <c:axId val="-1471660352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73408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overlay val="0"/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079764961003261E-2"/>
          <c:y val="0.11359781418938662"/>
          <c:w val="0.80526643986887925"/>
          <c:h val="0.75983333725790769"/>
        </c:manualLayout>
      </c:layout>
      <c:lineChart>
        <c:grouping val="standard"/>
        <c:varyColors val="0"/>
        <c:ser>
          <c:idx val="0"/>
          <c:order val="0"/>
          <c:tx>
            <c:v>Marzo</c:v>
          </c:tx>
          <c:spPr>
            <a:ln w="6350">
              <a:solidFill>
                <a:schemeClr val="tx1"/>
              </a:solidFill>
            </a:ln>
          </c:spPr>
          <c:marker>
            <c:symbol val="circle"/>
            <c:size val="3"/>
            <c:spPr>
              <a:solidFill>
                <a:schemeClr val="tx1"/>
              </a:solidFill>
              <a:ln w="6350">
                <a:solidFill>
                  <a:schemeClr val="tx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 i="0" u="none" strike="noStrike" baseline="0">
                    <a:solidFill>
                      <a:srgbClr val="333399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TPIBPHG11!$E$78:$E$108</c:f>
              <c:numCache>
                <c:formatCode>0</c:formatCode>
                <c:ptCount val="31"/>
                <c:pt idx="0">
                  <c:v>0</c:v>
                </c:pt>
                <c:pt idx="1">
                  <c:v>30</c:v>
                </c:pt>
                <c:pt idx="2">
                  <c:v>0</c:v>
                </c:pt>
                <c:pt idx="3">
                  <c:v>35</c:v>
                </c:pt>
                <c:pt idx="4">
                  <c:v>0</c:v>
                </c:pt>
                <c:pt idx="5">
                  <c:v>0</c:v>
                </c:pt>
                <c:pt idx="6">
                  <c:v>60</c:v>
                </c:pt>
                <c:pt idx="7">
                  <c:v>23</c:v>
                </c:pt>
                <c:pt idx="8">
                  <c:v>0</c:v>
                </c:pt>
                <c:pt idx="9">
                  <c:v>0</c:v>
                </c:pt>
                <c:pt idx="10">
                  <c:v>57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100</c:v>
                </c:pt>
                <c:pt idx="16">
                  <c:v>10</c:v>
                </c:pt>
                <c:pt idx="17">
                  <c:v>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15</c:v>
                </c:pt>
                <c:pt idx="24">
                  <c:v>0</c:v>
                </c:pt>
                <c:pt idx="25">
                  <c:v>60</c:v>
                </c:pt>
                <c:pt idx="26">
                  <c:v>45</c:v>
                </c:pt>
                <c:pt idx="27">
                  <c:v>0</c:v>
                </c:pt>
                <c:pt idx="28">
                  <c:v>20</c:v>
                </c:pt>
                <c:pt idx="29">
                  <c:v>0</c:v>
                </c:pt>
                <c:pt idx="30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4F-4F6C-90EA-8E72E8EABF0A}"/>
            </c:ext>
          </c:extLst>
        </c:ser>
        <c:ser>
          <c:idx val="1"/>
          <c:order val="1"/>
          <c:tx>
            <c:v>Abril</c:v>
          </c:tx>
          <c:spPr>
            <a:ln w="19050">
              <a:solidFill>
                <a:srgbClr val="00CCFF"/>
              </a:solidFill>
            </a:ln>
          </c:spPr>
          <c:marker>
            <c:symbol val="diamond"/>
            <c:size val="5"/>
            <c:spPr>
              <a:ln w="6350">
                <a:solidFill>
                  <a:srgbClr val="00CCFF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TPIBPHG11!$E$43:$E$72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373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60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44F-4F6C-90EA-8E72E8EAB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1671232"/>
        <c:axId val="-1471670144"/>
      </c:lineChart>
      <c:catAx>
        <c:axId val="-147167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70144"/>
        <c:crosses val="autoZero"/>
        <c:auto val="1"/>
        <c:lblAlgn val="ctr"/>
        <c:lblOffset val="100"/>
        <c:noMultiLvlLbl val="0"/>
      </c:catAx>
      <c:valAx>
        <c:axId val="-1471670144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712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9054237713998577E-2"/>
          <c:y val="0.10738695163104611"/>
          <c:w val="0.80483420620232715"/>
          <c:h val="0.78908717660292449"/>
        </c:manualLayout>
      </c:layout>
      <c:lineChart>
        <c:grouping val="standard"/>
        <c:varyColors val="0"/>
        <c:ser>
          <c:idx val="0"/>
          <c:order val="0"/>
          <c:tx>
            <c:v>Marzo</c:v>
          </c:tx>
          <c:spPr>
            <a:ln w="19050">
              <a:solidFill>
                <a:schemeClr val="tx1"/>
              </a:solidFill>
            </a:ln>
          </c:spPr>
          <c:marker>
            <c:symbol val="diamond"/>
            <c:size val="3"/>
            <c:spPr>
              <a:solidFill>
                <a:schemeClr val="tx1"/>
              </a:solidFill>
              <a:ln w="6350">
                <a:solidFill>
                  <a:schemeClr val="tx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TPIBPHG11!$F$78:$F$108</c:f>
              <c:numCache>
                <c:formatCode>0</c:formatCode>
                <c:ptCount val="31"/>
                <c:pt idx="0">
                  <c:v>237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60</c:v>
                </c:pt>
                <c:pt idx="12">
                  <c:v>120</c:v>
                </c:pt>
                <c:pt idx="13">
                  <c:v>93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EB-46D1-BA1E-5F484874C989}"/>
            </c:ext>
          </c:extLst>
        </c:ser>
        <c:ser>
          <c:idx val="1"/>
          <c:order val="1"/>
          <c:tx>
            <c:v>Abril</c:v>
          </c:tx>
          <c:spPr>
            <a:ln w="19050">
              <a:solidFill>
                <a:srgbClr val="3333CC"/>
              </a:solidFill>
            </a:ln>
          </c:spPr>
          <c:marker>
            <c:symbol val="diamond"/>
            <c:size val="5"/>
            <c:spPr>
              <a:solidFill>
                <a:srgbClr val="3333CC"/>
              </a:solidFill>
              <a:ln w="19050">
                <a:solidFill>
                  <a:srgbClr val="3333CC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 i="0" u="none" strike="noStrike" baseline="0">
                    <a:solidFill>
                      <a:srgbClr val="333399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TPIBPHG11!$F$43:$F$72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</c:v>
                </c:pt>
                <c:pt idx="11">
                  <c:v>0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</c:v>
                </c:pt>
                <c:pt idx="18">
                  <c:v>0</c:v>
                </c:pt>
                <c:pt idx="19">
                  <c:v>120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0EB-46D1-BA1E-5F484874C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1659264"/>
        <c:axId val="-1471663616"/>
      </c:lineChart>
      <c:catAx>
        <c:axId val="-1471659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3616"/>
        <c:crosses val="autoZero"/>
        <c:auto val="1"/>
        <c:lblAlgn val="ctr"/>
        <c:lblOffset val="100"/>
        <c:noMultiLvlLbl val="0"/>
      </c:catAx>
      <c:valAx>
        <c:axId val="-1471663616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59264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89505921156769863"/>
          <c:y val="0.45694535374089484"/>
          <c:w val="0.10494078843230149"/>
          <c:h val="8.6109056592645006E-2"/>
        </c:manualLayout>
      </c:layout>
      <c:overlay val="0"/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521972602584065E-2"/>
          <c:y val="9.5660285619449545E-2"/>
          <c:w val="0.80733215142911718"/>
          <c:h val="0.76645164171802072"/>
        </c:manualLayout>
      </c:layout>
      <c:lineChart>
        <c:grouping val="standard"/>
        <c:varyColors val="0"/>
        <c:ser>
          <c:idx val="0"/>
          <c:order val="0"/>
          <c:tx>
            <c:v>Marzo</c:v>
          </c:tx>
          <c:spPr>
            <a:ln w="6350">
              <a:solidFill>
                <a:sysClr val="windowText" lastClr="000000"/>
              </a:solidFill>
            </a:ln>
          </c:spPr>
          <c:marker>
            <c:symbol val="circle"/>
            <c:size val="3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</a:ln>
            </c:spPr>
          </c:marker>
          <c:dLbls>
            <c:dLbl>
              <c:idx val="24"/>
              <c:layout>
                <c:manualLayout>
                  <c:x val="-1.0185066412563648E-16"/>
                  <c:y val="2.06261540038795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FB-42DC-95F9-D69C787D80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TPIBPHG11!$H$78:$H$108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FB-42DC-95F9-D69C787D803A}"/>
            </c:ext>
          </c:extLst>
        </c:ser>
        <c:ser>
          <c:idx val="1"/>
          <c:order val="1"/>
          <c:tx>
            <c:v>Abril</c:v>
          </c:tx>
          <c:spPr>
            <a:ln w="9525"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TPIBPHG11!$H$43:$H$72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4FB-42DC-95F9-D69C787D8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1664160"/>
        <c:axId val="-1471670688"/>
      </c:lineChart>
      <c:catAx>
        <c:axId val="-147166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70688"/>
        <c:crosses val="autoZero"/>
        <c:auto val="1"/>
        <c:lblAlgn val="ctr"/>
        <c:lblOffset val="100"/>
        <c:noMultiLvlLbl val="0"/>
      </c:catAx>
      <c:valAx>
        <c:axId val="-1471670688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4160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overlay val="0"/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41989016263174E-2"/>
          <c:y val="9.0847129657591674E-2"/>
          <c:w val="0.8128843393384998"/>
          <c:h val="0.79932566828923202"/>
        </c:manualLayout>
      </c:layout>
      <c:lineChart>
        <c:grouping val="standard"/>
        <c:varyColors val="0"/>
        <c:ser>
          <c:idx val="0"/>
          <c:order val="0"/>
          <c:tx>
            <c:v>Marzo</c:v>
          </c:tx>
          <c:spPr>
            <a:ln w="6350">
              <a:solidFill>
                <a:schemeClr val="tx1"/>
              </a:solidFill>
            </a:ln>
          </c:spPr>
          <c:marker>
            <c:symbol val="circle"/>
            <c:size val="3"/>
            <c:spPr>
              <a:solidFill>
                <a:schemeClr val="tx1"/>
              </a:solidFill>
              <a:ln w="6350">
                <a:solidFill>
                  <a:schemeClr val="tx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TPIBPHG11!$I$78:$I$108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8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</c:v>
                </c:pt>
                <c:pt idx="23">
                  <c:v>0</c:v>
                </c:pt>
                <c:pt idx="24">
                  <c:v>0</c:v>
                </c:pt>
                <c:pt idx="25">
                  <c:v>13</c:v>
                </c:pt>
                <c:pt idx="26">
                  <c:v>0</c:v>
                </c:pt>
                <c:pt idx="27">
                  <c:v>42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05-4F85-BB52-6B0F30F81C11}"/>
            </c:ext>
          </c:extLst>
        </c:ser>
        <c:ser>
          <c:idx val="1"/>
          <c:order val="1"/>
          <c:tx>
            <c:v>Abril</c:v>
          </c:tx>
          <c:spPr>
            <a:ln w="19050">
              <a:solidFill>
                <a:srgbClr val="C00000"/>
              </a:solidFill>
            </a:ln>
          </c:spPr>
          <c:marker>
            <c:symbol val="diamond"/>
            <c:size val="5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TPIBPHG11!$I$43:$I$72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45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44</c:v>
                </c:pt>
                <c:pt idx="15">
                  <c:v>13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05-4F85-BB52-6B0F30F81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1659808"/>
        <c:axId val="-1471669600"/>
      </c:lineChart>
      <c:catAx>
        <c:axId val="-147165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9600"/>
        <c:crosses val="autoZero"/>
        <c:auto val="1"/>
        <c:lblAlgn val="ctr"/>
        <c:lblOffset val="100"/>
        <c:noMultiLvlLbl val="0"/>
      </c:catAx>
      <c:valAx>
        <c:axId val="-1471669600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5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474472594691357"/>
          <c:y val="0.45903522929199064"/>
          <c:w val="0.10525527405308657"/>
          <c:h val="8.1928889323617207E-2"/>
        </c:manualLayout>
      </c:layout>
      <c:overlay val="0"/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433835980554164E-2"/>
          <c:y val="0.10491358429628873"/>
          <c:w val="0.78620153590321906"/>
          <c:h val="0.77520852855513178"/>
        </c:manualLayout>
      </c:layout>
      <c:lineChart>
        <c:grouping val="standard"/>
        <c:varyColors val="0"/>
        <c:ser>
          <c:idx val="1"/>
          <c:order val="0"/>
          <c:tx>
            <c:v>Abril</c:v>
          </c:tx>
          <c:spPr>
            <a:ln w="31750">
              <a:solidFill>
                <a:srgbClr val="FFC000"/>
              </a:solidFill>
            </a:ln>
          </c:spPr>
          <c:marker>
            <c:symbol val="diamond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dLbls>
            <c:dLbl>
              <c:idx val="1"/>
              <c:layout>
                <c:manualLayout>
                  <c:x val="-6.9672533606025518E-3"/>
                  <c:y val="-2.73104134929212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04-4178-8AD6-084319712581}"/>
                </c:ext>
              </c:extLst>
            </c:dLbl>
            <c:dLbl>
              <c:idx val="2"/>
              <c:layout>
                <c:manualLayout>
                  <c:x val="-6.9672533606025518E-3"/>
                  <c:y val="-2.50345457018445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04-4178-8AD6-084319712581}"/>
                </c:ext>
              </c:extLst>
            </c:dLbl>
            <c:dLbl>
              <c:idx val="3"/>
              <c:layout>
                <c:manualLayout>
                  <c:x val="-4.1803520163615337E-3"/>
                  <c:y val="-2.0482810119690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04-4178-8AD6-084319712581}"/>
                </c:ext>
              </c:extLst>
            </c:dLbl>
            <c:dLbl>
              <c:idx val="6"/>
              <c:layout>
                <c:manualLayout>
                  <c:x val="-1.3934506721205102E-2"/>
                  <c:y val="-2.50345457018445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04-4178-8AD6-084319712581}"/>
                </c:ext>
              </c:extLst>
            </c:dLbl>
            <c:dLbl>
              <c:idx val="8"/>
              <c:layout>
                <c:manualLayout>
                  <c:x val="-2.2295210753928218E-2"/>
                  <c:y val="-2.73104134929212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04-4178-8AD6-084319712581}"/>
                </c:ext>
              </c:extLst>
            </c:dLbl>
            <c:dLbl>
              <c:idx val="9"/>
              <c:layout>
                <c:manualLayout>
                  <c:x val="-2.7869013442410255E-3"/>
                  <c:y val="-1.59310745375374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04-4178-8AD6-084319712581}"/>
                </c:ext>
              </c:extLst>
            </c:dLbl>
            <c:dLbl>
              <c:idx val="10"/>
              <c:layout>
                <c:manualLayout>
                  <c:x val="-4.1803520163615814E-3"/>
                  <c:y val="-6.827603373230319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004-4178-8AD6-084319712581}"/>
                </c:ext>
              </c:extLst>
            </c:dLbl>
            <c:dLbl>
              <c:idx val="11"/>
              <c:layout>
                <c:manualLayout>
                  <c:x val="-2.7869013442410758E-3"/>
                  <c:y val="-1.36552067464606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04-4178-8AD6-0843197125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66CC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TPIBPHG11!$B$43:$B$72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0</c:v>
                </c:pt>
                <c:pt idx="10">
                  <c:v>64</c:v>
                </c:pt>
                <c:pt idx="11">
                  <c:v>2</c:v>
                </c:pt>
                <c:pt idx="12">
                  <c:v>5</c:v>
                </c:pt>
                <c:pt idx="13">
                  <c:v>0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2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17</c:v>
                </c:pt>
                <c:pt idx="25">
                  <c:v>2</c:v>
                </c:pt>
                <c:pt idx="26">
                  <c:v>24</c:v>
                </c:pt>
                <c:pt idx="27">
                  <c:v>19</c:v>
                </c:pt>
                <c:pt idx="28">
                  <c:v>15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5004-4178-8AD6-084319712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1667424"/>
        <c:axId val="-1471658720"/>
      </c:lineChart>
      <c:catAx>
        <c:axId val="-1471667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58720"/>
        <c:crosses val="autoZero"/>
        <c:auto val="1"/>
        <c:lblAlgn val="ctr"/>
        <c:lblOffset val="100"/>
        <c:noMultiLvlLbl val="0"/>
      </c:catAx>
      <c:valAx>
        <c:axId val="-1471658720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7424"/>
        <c:crosses val="autoZero"/>
        <c:crossBetween val="between"/>
      </c:valAx>
      <c:spPr>
        <a:ln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87868066982510773"/>
          <c:y val="0.44466430090822784"/>
          <c:w val="0.11297368333867104"/>
          <c:h val="0.10761134548703663"/>
        </c:manualLayout>
      </c:layout>
      <c:overlay val="0"/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701590524777368E-2"/>
          <c:y val="0.10074434453901797"/>
          <c:w val="0.80290421932583134"/>
          <c:h val="0.78338991600647812"/>
        </c:manualLayout>
      </c:layout>
      <c:lineChart>
        <c:grouping val="standard"/>
        <c:varyColors val="0"/>
        <c:ser>
          <c:idx val="1"/>
          <c:order val="0"/>
          <c:tx>
            <c:v>Abril</c:v>
          </c:tx>
          <c:spPr>
            <a:ln w="19050">
              <a:solidFill>
                <a:srgbClr val="00B050"/>
              </a:solidFill>
            </a:ln>
          </c:spPr>
          <c:marker>
            <c:symbol val="diamond"/>
            <c:size val="5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 i="0" u="none" strike="noStrike" baseline="0">
                    <a:solidFill>
                      <a:srgbClr val="333399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TPIBPHG11!$C$43:$C$72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</c:v>
                </c:pt>
                <c:pt idx="5">
                  <c:v>14</c:v>
                </c:pt>
                <c:pt idx="6">
                  <c:v>7</c:v>
                </c:pt>
                <c:pt idx="7">
                  <c:v>119</c:v>
                </c:pt>
                <c:pt idx="8">
                  <c:v>20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450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63-44F3-818F-923F5551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1673952"/>
        <c:axId val="-1471672864"/>
      </c:lineChart>
      <c:catAx>
        <c:axId val="-1471673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72864"/>
        <c:crosses val="autoZero"/>
        <c:auto val="1"/>
        <c:lblAlgn val="ctr"/>
        <c:lblOffset val="100"/>
        <c:noMultiLvlLbl val="0"/>
      </c:catAx>
      <c:valAx>
        <c:axId val="-1471672864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7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624363993606948"/>
          <c:y val="0.45971985966684031"/>
          <c:w val="0.1037563600639306"/>
          <c:h val="7.9968651213187594E-2"/>
        </c:manualLayout>
      </c:layout>
      <c:overlay val="0"/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079764961003261E-2"/>
          <c:y val="0.11359781418938658"/>
          <c:w val="0.80526643986887925"/>
          <c:h val="0.75983333725790769"/>
        </c:manualLayout>
      </c:layout>
      <c:lineChart>
        <c:grouping val="standard"/>
        <c:varyColors val="0"/>
        <c:ser>
          <c:idx val="1"/>
          <c:order val="0"/>
          <c:tx>
            <c:v>Abril</c:v>
          </c:tx>
          <c:spPr>
            <a:ln w="19050">
              <a:solidFill>
                <a:srgbClr val="00CCFF"/>
              </a:solidFill>
            </a:ln>
          </c:spPr>
          <c:marker>
            <c:symbol val="diamond"/>
            <c:size val="5"/>
            <c:spPr>
              <a:ln w="6350">
                <a:solidFill>
                  <a:srgbClr val="00CCFF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TPIBPHG11!$E$43:$E$72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373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60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1B-4797-AA8B-4959AE225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1662528"/>
        <c:axId val="-1471669056"/>
      </c:lineChart>
      <c:catAx>
        <c:axId val="-147166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9056"/>
        <c:crosses val="autoZero"/>
        <c:auto val="1"/>
        <c:lblAlgn val="ctr"/>
        <c:lblOffset val="100"/>
        <c:noMultiLvlLbl val="0"/>
      </c:catAx>
      <c:valAx>
        <c:axId val="-1471669056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25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054237713998577E-2"/>
          <c:y val="0.10738695163104611"/>
          <c:w val="0.80483420620232715"/>
          <c:h val="0.78908717660292449"/>
        </c:manualLayout>
      </c:layout>
      <c:lineChart>
        <c:grouping val="standard"/>
        <c:varyColors val="0"/>
        <c:ser>
          <c:idx val="1"/>
          <c:order val="0"/>
          <c:tx>
            <c:v>Abril</c:v>
          </c:tx>
          <c:spPr>
            <a:ln w="19050">
              <a:solidFill>
                <a:srgbClr val="3333CC"/>
              </a:solidFill>
            </a:ln>
          </c:spPr>
          <c:marker>
            <c:symbol val="diamond"/>
            <c:size val="5"/>
            <c:spPr>
              <a:solidFill>
                <a:srgbClr val="3333CC"/>
              </a:solidFill>
              <a:ln w="19050">
                <a:solidFill>
                  <a:srgbClr val="3333CC"/>
                </a:solidFill>
              </a:ln>
            </c:spPr>
          </c:marker>
          <c:dLbls>
            <c:dLbl>
              <c:idx val="29"/>
              <c:layout>
                <c:manualLayout>
                  <c:x val="-4.7068128663640116E-2"/>
                  <c:y val="7.142857142857148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E6-414A-994A-DCAAA0FFF8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 i="0" u="none" strike="noStrike" baseline="0">
                    <a:solidFill>
                      <a:srgbClr val="333399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TPIBPHG11!$F$43:$F$72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</c:v>
                </c:pt>
                <c:pt idx="11">
                  <c:v>0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</c:v>
                </c:pt>
                <c:pt idx="18">
                  <c:v>0</c:v>
                </c:pt>
                <c:pt idx="19">
                  <c:v>120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4E6-414A-994A-DCAAA0FFF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1663072"/>
        <c:axId val="-1471668512"/>
      </c:lineChart>
      <c:catAx>
        <c:axId val="-147166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8512"/>
        <c:crosses val="autoZero"/>
        <c:auto val="1"/>
        <c:lblAlgn val="ctr"/>
        <c:lblOffset val="100"/>
        <c:noMultiLvlLbl val="0"/>
      </c:catAx>
      <c:valAx>
        <c:axId val="-1471668512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3072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89505911318607356"/>
          <c:y val="0.45694545584990942"/>
          <c:w val="0.10494088681392698"/>
          <c:h val="8.6109088300181158E-2"/>
        </c:manualLayout>
      </c:layout>
      <c:overlay val="0"/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521972602584065E-2"/>
          <c:y val="9.5660285619449545E-2"/>
          <c:w val="0.80733215142911718"/>
          <c:h val="0.76645164171802072"/>
        </c:manualLayout>
      </c:layout>
      <c:lineChart>
        <c:grouping val="standard"/>
        <c:varyColors val="0"/>
        <c:ser>
          <c:idx val="1"/>
          <c:order val="0"/>
          <c:tx>
            <c:v>Abril</c:v>
          </c:tx>
          <c:spPr>
            <a:ln w="19050">
              <a:solidFill>
                <a:schemeClr val="accent6"/>
              </a:solidFill>
            </a:ln>
          </c:spPr>
          <c:marker>
            <c:symbol val="diamond"/>
            <c:size val="5"/>
            <c:spPr>
              <a:solidFill>
                <a:schemeClr val="accent6"/>
              </a:solidFill>
              <a:ln w="6350">
                <a:solidFill>
                  <a:schemeClr val="accent6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TPIBPHG11!$H$43:$H$72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4D-4AEC-A972-3D75576C9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1664704"/>
        <c:axId val="-1471666880"/>
      </c:lineChart>
      <c:catAx>
        <c:axId val="-1471664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6880"/>
        <c:crosses val="autoZero"/>
        <c:auto val="1"/>
        <c:lblAlgn val="ctr"/>
        <c:lblOffset val="100"/>
        <c:noMultiLvlLbl val="0"/>
      </c:catAx>
      <c:valAx>
        <c:axId val="-1471666880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4704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overlay val="0"/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341989016263174E-2"/>
          <c:y val="9.0847129657591674E-2"/>
          <c:w val="0.81288433933850002"/>
          <c:h val="0.79932566828923202"/>
        </c:manualLayout>
      </c:layout>
      <c:lineChart>
        <c:grouping val="standard"/>
        <c:varyColors val="0"/>
        <c:ser>
          <c:idx val="1"/>
          <c:order val="0"/>
          <c:tx>
            <c:v>Abril</c:v>
          </c:tx>
          <c:spPr>
            <a:ln w="19050">
              <a:solidFill>
                <a:srgbClr val="C00000"/>
              </a:solidFill>
            </a:ln>
          </c:spPr>
          <c:marker>
            <c:symbol val="diamond"/>
            <c:size val="5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TPIBPHG11!$I$43:$I$72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45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44</c:v>
                </c:pt>
                <c:pt idx="15">
                  <c:v>13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9A-44AA-8F57-8A10730E6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1666336"/>
        <c:axId val="-1471661984"/>
      </c:lineChart>
      <c:catAx>
        <c:axId val="-147166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1984"/>
        <c:crosses val="autoZero"/>
        <c:auto val="1"/>
        <c:lblAlgn val="ctr"/>
        <c:lblOffset val="100"/>
        <c:noMultiLvlLbl val="0"/>
      </c:catAx>
      <c:valAx>
        <c:axId val="-1471661984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474470640954751"/>
          <c:y val="0.459035213918496"/>
          <c:w val="0.10525529359045327"/>
          <c:h val="8.1928953379845265E-2"/>
        </c:manualLayout>
      </c:layout>
      <c:overlay val="0"/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17427821522321"/>
          <c:y val="0.12430329061939248"/>
          <c:w val="0.7978135554408482"/>
          <c:h val="0.76029442364172795"/>
        </c:manualLayout>
      </c:layout>
      <c:lineChart>
        <c:grouping val="standard"/>
        <c:varyColors val="0"/>
        <c:ser>
          <c:idx val="1"/>
          <c:order val="0"/>
          <c:tx>
            <c:v>Abril</c:v>
          </c:tx>
          <c:spPr>
            <a:ln w="19050">
              <a:solidFill>
                <a:srgbClr val="0066FF"/>
              </a:solidFill>
            </a:ln>
          </c:spPr>
          <c:marker>
            <c:symbol val="diamond"/>
            <c:size val="5"/>
            <c:spPr>
              <a:solidFill>
                <a:srgbClr val="0066FF"/>
              </a:solidFill>
              <a:ln w="6350">
                <a:solidFill>
                  <a:srgbClr val="0066FF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 i="0" u="none" strike="noStrike" baseline="0">
                    <a:solidFill>
                      <a:srgbClr val="0066CC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TPIBPHG11!$D$43:$D$72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90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180</c:v>
                </c:pt>
                <c:pt idx="23">
                  <c:v>0</c:v>
                </c:pt>
                <c:pt idx="24">
                  <c:v>44</c:v>
                </c:pt>
                <c:pt idx="25">
                  <c:v>15</c:v>
                </c:pt>
                <c:pt idx="26">
                  <c:v>0</c:v>
                </c:pt>
                <c:pt idx="27">
                  <c:v>95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40-4799-B2CE-F4ACF200F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1665792"/>
        <c:axId val="-1471665248"/>
      </c:lineChart>
      <c:catAx>
        <c:axId val="-147166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5248"/>
        <c:crosses val="autoZero"/>
        <c:auto val="1"/>
        <c:lblAlgn val="ctr"/>
        <c:lblOffset val="100"/>
        <c:noMultiLvlLbl val="0"/>
      </c:catAx>
      <c:valAx>
        <c:axId val="-1471665248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5792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overlay val="0"/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41989016263174E-2"/>
          <c:y val="9.0847129657591674E-2"/>
          <c:w val="0.81288433933850002"/>
          <c:h val="0.79932566828923202"/>
        </c:manualLayout>
      </c:layout>
      <c:lineChart>
        <c:grouping val="standard"/>
        <c:varyColors val="0"/>
        <c:ser>
          <c:idx val="0"/>
          <c:order val="0"/>
          <c:tx>
            <c:v>Marzo</c:v>
          </c:tx>
          <c:spPr>
            <a:ln w="6350">
              <a:solidFill>
                <a:schemeClr val="tx1"/>
              </a:solidFill>
            </a:ln>
          </c:spPr>
          <c:marker>
            <c:symbol val="circle"/>
            <c:size val="3"/>
            <c:spPr>
              <a:solidFill>
                <a:schemeClr val="tx1"/>
              </a:solidFill>
              <a:ln w="6350">
                <a:solidFill>
                  <a:schemeClr val="tx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TPIBPHG11!$G$78:$G$108</c:f>
              <c:numCache>
                <c:formatCode>0</c:formatCode>
                <c:ptCount val="31"/>
                <c:pt idx="0">
                  <c:v>15</c:v>
                </c:pt>
                <c:pt idx="1">
                  <c:v>15</c:v>
                </c:pt>
                <c:pt idx="2">
                  <c:v>0</c:v>
                </c:pt>
                <c:pt idx="3">
                  <c:v>36</c:v>
                </c:pt>
                <c:pt idx="4">
                  <c:v>0</c:v>
                </c:pt>
                <c:pt idx="5">
                  <c:v>0</c:v>
                </c:pt>
                <c:pt idx="6">
                  <c:v>90</c:v>
                </c:pt>
                <c:pt idx="7">
                  <c:v>210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50</c:v>
                </c:pt>
                <c:pt idx="22">
                  <c:v>0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</c:v>
                </c:pt>
                <c:pt idx="29">
                  <c:v>20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AA-4641-9A72-8920FB56304D}"/>
            </c:ext>
          </c:extLst>
        </c:ser>
        <c:ser>
          <c:idx val="1"/>
          <c:order val="1"/>
          <c:tx>
            <c:v>Abril</c:v>
          </c:tx>
          <c:spPr>
            <a:ln w="19050">
              <a:solidFill>
                <a:schemeClr val="accent5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5">
                  <a:lumMod val="75000"/>
                </a:schemeClr>
              </a:solidFill>
              <a:ln w="6350">
                <a:solidFill>
                  <a:schemeClr val="accent5">
                    <a:lumMod val="75000"/>
                  </a:schemeClr>
                </a:solidFill>
              </a:ln>
            </c:spPr>
          </c:marker>
          <c:dLbls>
            <c:dLbl>
              <c:idx val="30"/>
              <c:layout>
                <c:manualLayout>
                  <c:x val="-3.6630040856051711E-2"/>
                  <c:y val="3.7615447212865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AA-4641-9A72-8920FB563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TPIBPHG11!$G$43:$G$72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</c:v>
                </c:pt>
                <c:pt idx="11">
                  <c:v>0</c:v>
                </c:pt>
                <c:pt idx="12">
                  <c:v>0</c:v>
                </c:pt>
                <c:pt idx="13">
                  <c:v>60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8AA-4641-9A72-8920FB563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1661440"/>
        <c:axId val="-1470744528"/>
      </c:lineChart>
      <c:catAx>
        <c:axId val="-147166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0744528"/>
        <c:crosses val="autoZero"/>
        <c:auto val="1"/>
        <c:lblAlgn val="ctr"/>
        <c:lblOffset val="100"/>
        <c:noMultiLvlLbl val="0"/>
      </c:catAx>
      <c:valAx>
        <c:axId val="-1470744528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166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474474141436544"/>
          <c:y val="0.45903520680604576"/>
          <c:w val="0.1052552585856347"/>
          <c:h val="8.1928907593447453E-2"/>
        </c:manualLayout>
      </c:layout>
      <c:overlay val="0"/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59184091013322E-2"/>
          <c:y val="9.0847180322424573E-2"/>
          <c:w val="0.81288433933850024"/>
          <c:h val="0.79932566828923202"/>
        </c:manualLayout>
      </c:layout>
      <c:lineChart>
        <c:grouping val="standard"/>
        <c:varyColors val="0"/>
        <c:ser>
          <c:idx val="1"/>
          <c:order val="0"/>
          <c:tx>
            <c:v>Abril</c:v>
          </c:tx>
          <c:spPr>
            <a:ln w="19050">
              <a:solidFill>
                <a:schemeClr val="accent5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5">
                  <a:lumMod val="75000"/>
                </a:schemeClr>
              </a:solidFill>
              <a:ln w="6350">
                <a:solidFill>
                  <a:schemeClr val="accent5">
                    <a:lumMod val="75000"/>
                  </a:schemeClr>
                </a:solidFill>
              </a:ln>
            </c:spPr>
          </c:marker>
          <c:dLbls>
            <c:dLbl>
              <c:idx val="30"/>
              <c:layout>
                <c:manualLayout>
                  <c:x val="-3.0538619713411375E-2"/>
                  <c:y val="3.82807391320999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8A-47E8-84ED-F728A547E0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TPIBPHG11!$G$43:$G$72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</c:v>
                </c:pt>
                <c:pt idx="11">
                  <c:v>0</c:v>
                </c:pt>
                <c:pt idx="12">
                  <c:v>0</c:v>
                </c:pt>
                <c:pt idx="13">
                  <c:v>60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8A-47E8-84ED-F728A547E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0747248"/>
        <c:axId val="-1470742352"/>
      </c:lineChart>
      <c:catAx>
        <c:axId val="-147074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0742352"/>
        <c:crosses val="autoZero"/>
        <c:auto val="1"/>
        <c:lblAlgn val="ctr"/>
        <c:lblOffset val="100"/>
        <c:noMultiLvlLbl val="0"/>
      </c:catAx>
      <c:valAx>
        <c:axId val="-1470742352"/>
        <c:scaling>
          <c:orientation val="minMax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074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335637551119995"/>
          <c:y val="0.44327246328251552"/>
          <c:w val="0.10525529512299336"/>
          <c:h val="8.1928631261517879E-2"/>
        </c:manualLayout>
      </c:layout>
      <c:overlay val="0"/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O" sz="2400" b="1" i="0" u="none" strike="noStrike" baseline="0">
                <a:solidFill>
                  <a:srgbClr val="000000"/>
                </a:solidFill>
                <a:latin typeface="Calibri"/>
              </a:rPr>
              <a:t>TIEMPOS PERDIDOS TAPA PLASTICA IBERPLAST S.A.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O" sz="1800" b="1" i="0" u="none" strike="noStrike" baseline="0">
                <a:solidFill>
                  <a:srgbClr val="000000"/>
                </a:solidFill>
                <a:latin typeface="Calibri"/>
              </a:rPr>
              <a:t> DEPARTAMENTO DE MANTENIMIENTO DICIEMBRE 2024</a:t>
            </a:r>
          </a:p>
        </c:rich>
      </c:tx>
      <c:layout>
        <c:manualLayout>
          <c:xMode val="edge"/>
          <c:yMode val="edge"/>
          <c:x val="0.28535907780086373"/>
          <c:y val="2.2039009829653653E-3"/>
        </c:manualLayout>
      </c:layout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  <c:spPr>
        <a:ln>
          <a:solidFill>
            <a:schemeClr val="tx1"/>
          </a:solidFill>
        </a:ln>
      </c:spPr>
    </c:sideWall>
    <c:backWall>
      <c:thickness val="0"/>
      <c:spPr>
        <a:ln>
          <a:solidFill>
            <a:schemeClr val="tx1"/>
          </a:solidFill>
        </a:ln>
      </c:spPr>
    </c:backWall>
    <c:plotArea>
      <c:layout>
        <c:manualLayout>
          <c:layoutTarget val="inner"/>
          <c:xMode val="edge"/>
          <c:yMode val="edge"/>
          <c:x val="0.20104063430482921"/>
          <c:y val="0.13487416539792471"/>
          <c:w val="0.7629093417537699"/>
          <c:h val="0.47405327415204285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'tiempos Perdidos TP IBERPLAST'!$B$8:$B$9</c:f>
              <c:strCache>
                <c:ptCount val="2"/>
                <c:pt idx="0">
                  <c:v>CCM 01</c:v>
                </c:pt>
              </c:strCache>
            </c:strRef>
          </c:tx>
          <c:invertIfNegative val="0"/>
          <c:cat>
            <c:numRef>
              <c:f>'tiempos Perdidos TP IBERPLAST'!$A$10:$A$40</c:f>
              <c:numCache>
                <c:formatCode>d\-mmm\-yy</c:formatCode>
                <c:ptCount val="31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</c:numCache>
            </c:numRef>
          </c:cat>
          <c:val>
            <c:numRef>
              <c:f>'tiempos Perdidos TP IBERPLAST'!$B$11:$B$40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E-4B65-9ED1-F8E478971433}"/>
            </c:ext>
          </c:extLst>
        </c:ser>
        <c:ser>
          <c:idx val="1"/>
          <c:order val="1"/>
          <c:tx>
            <c:strRef>
              <c:f>'tiempos Perdidos TP IBERPLAST'!$C$8:$C$9</c:f>
              <c:strCache>
                <c:ptCount val="2"/>
                <c:pt idx="0">
                  <c:v>CCM 02</c:v>
                </c:pt>
              </c:strCache>
            </c:strRef>
          </c:tx>
          <c:invertIfNegative val="0"/>
          <c:cat>
            <c:numRef>
              <c:f>'tiempos Perdidos TP IBERPLAST'!$A$10:$A$40</c:f>
              <c:numCache>
                <c:formatCode>d\-mmm\-yy</c:formatCode>
                <c:ptCount val="31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</c:numCache>
            </c:numRef>
          </c:cat>
          <c:val>
            <c:numRef>
              <c:f>'tiempos Perdidos TP IBERPLAST'!$C$11:$C$40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2E-4B65-9ED1-F8E478971433}"/>
            </c:ext>
          </c:extLst>
        </c:ser>
        <c:ser>
          <c:idx val="2"/>
          <c:order val="2"/>
          <c:tx>
            <c:strRef>
              <c:f>'tiempos Perdidos TP IBERPLAST'!$D$8:$D$9</c:f>
              <c:strCache>
                <c:ptCount val="2"/>
                <c:pt idx="0">
                  <c:v>CCM 03</c:v>
                </c:pt>
              </c:strCache>
            </c:strRef>
          </c:tx>
          <c:invertIfNegative val="0"/>
          <c:cat>
            <c:numRef>
              <c:f>'tiempos Perdidos TP IBERPLAST'!$A$10:$A$40</c:f>
              <c:numCache>
                <c:formatCode>d\-mmm\-yy</c:formatCode>
                <c:ptCount val="31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</c:numCache>
            </c:numRef>
          </c:cat>
          <c:val>
            <c:numRef>
              <c:f>'tiempos Perdidos TP IBERPLAST'!$D$11:$D$40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2E-4B65-9ED1-F8E478971433}"/>
            </c:ext>
          </c:extLst>
        </c:ser>
        <c:ser>
          <c:idx val="3"/>
          <c:order val="3"/>
          <c:tx>
            <c:strRef>
              <c:f>'tiempos Perdidos TP IBERPLAST'!$E$8:$E$9</c:f>
              <c:strCache>
                <c:ptCount val="2"/>
                <c:pt idx="0">
                  <c:v>CCM 04</c:v>
                </c:pt>
              </c:strCache>
            </c:strRef>
          </c:tx>
          <c:invertIfNegative val="0"/>
          <c:cat>
            <c:numRef>
              <c:f>'tiempos Perdidos TP IBERPLAST'!$A$10:$A$40</c:f>
              <c:numCache>
                <c:formatCode>d\-mmm\-yy</c:formatCode>
                <c:ptCount val="31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</c:numCache>
            </c:numRef>
          </c:cat>
          <c:val>
            <c:numRef>
              <c:f>'tiempos Perdidos TP IBERPLAST'!$E$11:$E$40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2E-4B65-9ED1-F8E478971433}"/>
            </c:ext>
          </c:extLst>
        </c:ser>
        <c:ser>
          <c:idx val="4"/>
          <c:order val="4"/>
          <c:tx>
            <c:strRef>
              <c:f>'tiempos Perdidos TP IBERPLAST'!$F$8:$F$9</c:f>
              <c:strCache>
                <c:ptCount val="2"/>
                <c:pt idx="0">
                  <c:v>CCM 05</c:v>
                </c:pt>
              </c:strCache>
            </c:strRef>
          </c:tx>
          <c:invertIfNegative val="0"/>
          <c:cat>
            <c:numRef>
              <c:f>'tiempos Perdidos TP IBERPLAST'!$A$10:$A$40</c:f>
              <c:numCache>
                <c:formatCode>d\-mmm\-yy</c:formatCode>
                <c:ptCount val="31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</c:numCache>
            </c:numRef>
          </c:cat>
          <c:val>
            <c:numRef>
              <c:f>'tiempos Perdidos TP IBERPLAST'!$F$11:$F$40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2E-4B65-9ED1-F8E478971433}"/>
            </c:ext>
          </c:extLst>
        </c:ser>
        <c:ser>
          <c:idx val="6"/>
          <c:order val="5"/>
          <c:tx>
            <c:v>PMV 02</c:v>
          </c:tx>
          <c:invertIfNegative val="0"/>
          <c:cat>
            <c:numRef>
              <c:f>'tiempos Perdidos TP IBERPLAST'!$A$10:$A$40</c:f>
              <c:numCache>
                <c:formatCode>d\-mmm\-yy</c:formatCode>
                <c:ptCount val="31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</c:numCache>
            </c:numRef>
          </c:cat>
          <c:val>
            <c:numRef>
              <c:f>'tiempos Perdidos TP IBERPLAST'!$J$11:$J$40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2E-4B65-9ED1-F8E478971433}"/>
            </c:ext>
          </c:extLst>
        </c:ser>
        <c:ser>
          <c:idx val="8"/>
          <c:order val="6"/>
          <c:tx>
            <c:v>PMV 04</c:v>
          </c:tx>
          <c:invertIfNegative val="0"/>
          <c:cat>
            <c:numRef>
              <c:f>'tiempos Perdidos TP IBERPLAST'!$A$10:$A$40</c:f>
              <c:numCache>
                <c:formatCode>d\-mmm\-yy</c:formatCode>
                <c:ptCount val="31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</c:numCache>
            </c:numRef>
          </c:cat>
          <c:val>
            <c:numRef>
              <c:f>'tiempos Perdidos TP IBERPLAST'!$K$11:$K$40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2E-4B65-9ED1-F8E478971433}"/>
            </c:ext>
          </c:extLst>
        </c:ser>
        <c:ser>
          <c:idx val="9"/>
          <c:order val="7"/>
          <c:tx>
            <c:v>CCM6</c:v>
          </c:tx>
          <c:invertIfNegative val="0"/>
          <c:val>
            <c:numRef>
              <c:f>'tiempos Perdidos TP IBERPLAST'!$G$11:$G$40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2E-4B65-9ED1-F8E478971433}"/>
            </c:ext>
          </c:extLst>
        </c:ser>
        <c:ser>
          <c:idx val="10"/>
          <c:order val="8"/>
          <c:tx>
            <c:v>ccm07</c:v>
          </c:tx>
          <c:invertIfNegative val="0"/>
          <c:val>
            <c:numRef>
              <c:f>'tiempos Perdidos TP IBERPLAST'!$H$11:$H$38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12E-4B65-9ED1-F8E478971433}"/>
            </c:ext>
          </c:extLst>
        </c:ser>
        <c:ser>
          <c:idx val="5"/>
          <c:order val="9"/>
          <c:tx>
            <c:strRef>
              <c:f>'tiempos Perdidos TP IBERPLAST'!$I$8:$I$9</c:f>
              <c:strCache>
                <c:ptCount val="2"/>
                <c:pt idx="0">
                  <c:v>CCM 08</c:v>
                </c:pt>
              </c:strCache>
            </c:strRef>
          </c:tx>
          <c:invertIfNegative val="0"/>
          <c:val>
            <c:numRef>
              <c:f>'tiempos Perdidos TP IBERPLAST'!$I$10:$I$40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7-44AE-9BFD-638952938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gapDepth val="95"/>
        <c:shape val="box"/>
        <c:axId val="-1470742896"/>
        <c:axId val="-1470753776"/>
        <c:axId val="0"/>
      </c:bar3DChart>
      <c:dateAx>
        <c:axId val="-1470742896"/>
        <c:scaling>
          <c:orientation val="minMax"/>
        </c:scaling>
        <c:delete val="0"/>
        <c:axPos val="b"/>
        <c:numFmt formatCode="dd\-mmm\-yy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0753776"/>
        <c:crosses val="autoZero"/>
        <c:auto val="1"/>
        <c:lblOffset val="100"/>
        <c:baseTimeUnit val="days"/>
      </c:dateAx>
      <c:valAx>
        <c:axId val="-1470753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O"/>
                  <a:t>Total Minutos Perdidos</a:t>
                </a:r>
              </a:p>
            </c:rich>
          </c:tx>
          <c:layout>
            <c:manualLayout>
              <c:xMode val="edge"/>
              <c:yMode val="edge"/>
              <c:x val="0.14638513346209112"/>
              <c:y val="0.22715084143893777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074289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</c:dTable>
      <c:spPr>
        <a:solidFill>
          <a:schemeClr val="bg1"/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accent1">
        <a:lumMod val="60000"/>
        <a:lumOff val="40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089" l="0.70000000000000062" r="0.70000000000000062" t="0.75000000000000089" header="0.30000000000000032" footer="0.30000000000000032"/>
    <c:pageSetup orientation="landscape" verticalDpi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O" sz="1800" b="1" i="0" u="none" strike="noStrike" baseline="0">
                <a:solidFill>
                  <a:srgbClr val="000000"/>
                </a:solidFill>
                <a:latin typeface="Calibri"/>
              </a:rPr>
              <a:t>TIEMPOS PERDIDOS TAPA PLASTICA IBERPLAST S.A.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O" sz="1800" b="1" i="0" u="none" strike="noStrike" baseline="0">
                <a:solidFill>
                  <a:srgbClr val="000000"/>
                </a:solidFill>
                <a:latin typeface="Calibri"/>
              </a:rPr>
              <a:t> DEPARTAMENTO DE MANTENIMIENTO DICIEMBRE 2024</a:t>
            </a:r>
          </a:p>
        </c:rich>
      </c:tx>
      <c:layout>
        <c:manualLayout>
          <c:xMode val="edge"/>
          <c:yMode val="edge"/>
          <c:x val="0.31417195933664482"/>
          <c:y val="1.4206806551415711E-2"/>
        </c:manualLayout>
      </c:layout>
      <c:overlay val="0"/>
    </c:title>
    <c:autoTitleDeleted val="0"/>
    <c:view3D>
      <c:rotX val="40"/>
      <c:rotY val="190"/>
      <c:rAngAx val="0"/>
      <c:perspective val="5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6105331566030004"/>
          <c:y val="0.14978665376325168"/>
          <c:w val="0.72714133776598056"/>
          <c:h val="0.81821985295316413"/>
        </c:manualLayout>
      </c:layout>
      <c:pie3DChart>
        <c:varyColors val="1"/>
        <c:ser>
          <c:idx val="0"/>
          <c:order val="0"/>
          <c:explosion val="10"/>
          <c:dPt>
            <c:idx val="0"/>
            <c:bubble3D val="0"/>
            <c:explosion val="4"/>
            <c:extLst>
              <c:ext xmlns:c16="http://schemas.microsoft.com/office/drawing/2014/chart" uri="{C3380CC4-5D6E-409C-BE32-E72D297353CC}">
                <c16:uniqueId val="{00000000-DE6D-4D3C-A2E9-93532AE73EB9}"/>
              </c:ext>
            </c:extLst>
          </c:dPt>
          <c:dPt>
            <c:idx val="1"/>
            <c:bubble3D val="0"/>
            <c:explosion val="4"/>
            <c:extLst>
              <c:ext xmlns:c16="http://schemas.microsoft.com/office/drawing/2014/chart" uri="{C3380CC4-5D6E-409C-BE32-E72D297353CC}">
                <c16:uniqueId val="{00000001-DE6D-4D3C-A2E9-93532AE73EB9}"/>
              </c:ext>
            </c:extLst>
          </c:dPt>
          <c:dPt>
            <c:idx val="2"/>
            <c:bubble3D val="0"/>
            <c:explosion val="5"/>
            <c:extLst>
              <c:ext xmlns:c16="http://schemas.microsoft.com/office/drawing/2014/chart" uri="{C3380CC4-5D6E-409C-BE32-E72D297353CC}">
                <c16:uniqueId val="{00000002-DE6D-4D3C-A2E9-93532AE73EB9}"/>
              </c:ext>
            </c:extLst>
          </c:dPt>
          <c:dPt>
            <c:idx val="3"/>
            <c:bubble3D val="0"/>
            <c:explosion val="7"/>
            <c:extLst>
              <c:ext xmlns:c16="http://schemas.microsoft.com/office/drawing/2014/chart" uri="{C3380CC4-5D6E-409C-BE32-E72D297353CC}">
                <c16:uniqueId val="{00000003-DE6D-4D3C-A2E9-93532AE73EB9}"/>
              </c:ext>
            </c:extLst>
          </c:dPt>
          <c:dPt>
            <c:idx val="4"/>
            <c:bubble3D val="0"/>
            <c:explosion val="17"/>
            <c:extLst>
              <c:ext xmlns:c16="http://schemas.microsoft.com/office/drawing/2014/chart" uri="{C3380CC4-5D6E-409C-BE32-E72D297353CC}">
                <c16:uniqueId val="{00000004-DE6D-4D3C-A2E9-93532AE73EB9}"/>
              </c:ext>
            </c:extLst>
          </c:dPt>
          <c:dPt>
            <c:idx val="5"/>
            <c:bubble3D val="0"/>
            <c:explosion val="7"/>
            <c:extLst>
              <c:ext xmlns:c16="http://schemas.microsoft.com/office/drawing/2014/chart" uri="{C3380CC4-5D6E-409C-BE32-E72D297353CC}">
                <c16:uniqueId val="{00000005-DE6D-4D3C-A2E9-93532AE73EB9}"/>
              </c:ext>
            </c:extLst>
          </c:dPt>
          <c:dLbls>
            <c:dLbl>
              <c:idx val="0"/>
              <c:layout>
                <c:manualLayout>
                  <c:x val="-5.8027483302821689E-2"/>
                  <c:y val="1.218771536239534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6D-4D3C-A2E9-93532AE73EB9}"/>
                </c:ext>
              </c:extLst>
            </c:dLbl>
            <c:dLbl>
              <c:idx val="1"/>
              <c:layout>
                <c:manualLayout>
                  <c:x val="-7.4952419197627698E-2"/>
                  <c:y val="1.78797343069546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6D-4D3C-A2E9-93532AE73EB9}"/>
                </c:ext>
              </c:extLst>
            </c:dLbl>
            <c:dLbl>
              <c:idx val="2"/>
              <c:layout>
                <c:manualLayout>
                  <c:x val="-3.881888288484444E-2"/>
                  <c:y val="3.2790803384213853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6D-4D3C-A2E9-93532AE73EB9}"/>
                </c:ext>
              </c:extLst>
            </c:dLbl>
            <c:dLbl>
              <c:idx val="3"/>
              <c:layout>
                <c:manualLayout>
                  <c:x val="-8.5480851936679092E-2"/>
                  <c:y val="6.0528746755817537E-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6D-4D3C-A2E9-93532AE73EB9}"/>
                </c:ext>
              </c:extLst>
            </c:dLbl>
            <c:dLbl>
              <c:idx val="4"/>
              <c:layout>
                <c:manualLayout>
                  <c:x val="2.9108431161464113E-2"/>
                  <c:y val="-2.047977243068079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6D-4D3C-A2E9-93532AE73EB9}"/>
                </c:ext>
              </c:extLst>
            </c:dLbl>
            <c:dLbl>
              <c:idx val="5"/>
              <c:layout>
                <c:manualLayout>
                  <c:x val="3.7626085901629233E-2"/>
                  <c:y val="1.150544729394859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E6D-4D3C-A2E9-93532AE73EB9}"/>
                </c:ext>
              </c:extLst>
            </c:dLbl>
            <c:dLbl>
              <c:idx val="6"/>
              <c:layout>
                <c:manualLayout>
                  <c:x val="8.5390821694815572E-2"/>
                  <c:y val="6.06567544978665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E6D-4D3C-A2E9-93532AE73EB9}"/>
                </c:ext>
              </c:extLst>
            </c:dLbl>
            <c:dLbl>
              <c:idx val="7"/>
              <c:layout>
                <c:manualLayout>
                  <c:x val="2.4861254272487792E-2"/>
                  <c:y val="7.7999677414624944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6D-4D3C-A2E9-93532AE73EB9}"/>
                </c:ext>
              </c:extLst>
            </c:dLbl>
            <c:dLbl>
              <c:idx val="8"/>
              <c:layout>
                <c:manualLayout>
                  <c:x val="-4.2741254547777816E-3"/>
                  <c:y val="3.144650214812538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E6D-4D3C-A2E9-93532AE73E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'tiempos Perdidos TP IBERPLAST'!$B$8:$K$9</c:f>
              <c:strCache>
                <c:ptCount val="10"/>
                <c:pt idx="0">
                  <c:v>CCM 01</c:v>
                </c:pt>
                <c:pt idx="1">
                  <c:v>CCM 02</c:v>
                </c:pt>
                <c:pt idx="2">
                  <c:v>CCM 03</c:v>
                </c:pt>
                <c:pt idx="3">
                  <c:v>CCM 04</c:v>
                </c:pt>
                <c:pt idx="4">
                  <c:v>CCM 05</c:v>
                </c:pt>
                <c:pt idx="5">
                  <c:v>CCM 06</c:v>
                </c:pt>
                <c:pt idx="6">
                  <c:v>CCM 07</c:v>
                </c:pt>
                <c:pt idx="7">
                  <c:v>CCM 08</c:v>
                </c:pt>
                <c:pt idx="8">
                  <c:v>PMV 02</c:v>
                </c:pt>
                <c:pt idx="9">
                  <c:v>PMV 04</c:v>
                </c:pt>
              </c:strCache>
            </c:strRef>
          </c:cat>
          <c:val>
            <c:numRef>
              <c:f>'tiempos Perdidos TP IBERPLAST'!$B$41:$K$41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6D-4D3C-A2E9-93532AE73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olidFill>
          <a:schemeClr val="bg1"/>
        </a:solidFill>
      </c:spPr>
    </c:plotArea>
    <c:plotVisOnly val="1"/>
    <c:dispBlanksAs val="zero"/>
    <c:showDLblsOverMax val="0"/>
  </c:chart>
  <c:spPr>
    <a:solidFill>
      <a:schemeClr val="bg2">
        <a:lumMod val="75000"/>
      </a:schemeClr>
    </a:solidFill>
    <a:ln w="9525"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089" l="0.70000000000000062" r="0.70000000000000062" t="0.75000000000000089" header="0.30000000000000032" footer="0.30000000000000032"/>
    <c:pageSetup orientation="landscape" verticalDpi="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O" sz="2400" b="1" i="0" u="none" strike="noStrike" baseline="0">
                <a:solidFill>
                  <a:srgbClr val="000000"/>
                </a:solidFill>
                <a:latin typeface="Calibri"/>
              </a:rPr>
              <a:t>TIEMPOS MTTO PREVENTIVO TAPA PLASTICA IBERPLAST S.A.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O" sz="1800" b="1" i="0" u="none" strike="noStrike" baseline="0">
                <a:solidFill>
                  <a:srgbClr val="000000"/>
                </a:solidFill>
                <a:latin typeface="Calibri"/>
              </a:rPr>
              <a:t> DEPARTAMENTO DE MANTENIMIENTO DICIEMBRE 2024</a:t>
            </a:r>
          </a:p>
        </c:rich>
      </c:tx>
      <c:layout>
        <c:manualLayout>
          <c:xMode val="edge"/>
          <c:yMode val="edge"/>
          <c:x val="0.19327398933623871"/>
          <c:y val="4.6098159298715109E-4"/>
        </c:manualLayout>
      </c:layout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  <c:spPr>
        <a:ln>
          <a:solidFill>
            <a:schemeClr val="tx1"/>
          </a:solidFill>
        </a:ln>
      </c:spPr>
    </c:sideWall>
    <c:backWall>
      <c:thickness val="0"/>
      <c:spPr>
        <a:ln>
          <a:solidFill>
            <a:schemeClr val="tx1"/>
          </a:solidFill>
        </a:ln>
      </c:spPr>
    </c:backWall>
    <c:plotArea>
      <c:layout>
        <c:manualLayout>
          <c:layoutTarget val="inner"/>
          <c:xMode val="edge"/>
          <c:yMode val="edge"/>
          <c:x val="0.20104063430482921"/>
          <c:y val="0.13487416539792471"/>
          <c:w val="0.7629093417537699"/>
          <c:h val="0.47405327415204285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'tiempos Mtto Prev TP'!$B$8:$B$9</c:f>
              <c:strCache>
                <c:ptCount val="2"/>
                <c:pt idx="0">
                  <c:v>CCM 01</c:v>
                </c:pt>
              </c:strCache>
            </c:strRef>
          </c:tx>
          <c:invertIfNegative val="0"/>
          <c:cat>
            <c:numRef>
              <c:f>'tiempos Mtto Prev TP'!$A$10:$A$43</c:f>
              <c:numCache>
                <c:formatCode>d\-mmm\-yy</c:formatCode>
                <c:ptCount val="31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</c:numCache>
            </c:numRef>
          </c:cat>
          <c:val>
            <c:numRef>
              <c:f>'tiempos Mtto Prev TP'!$B$11:$B$43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5-4B86-AE94-4437666853BC}"/>
            </c:ext>
          </c:extLst>
        </c:ser>
        <c:ser>
          <c:idx val="1"/>
          <c:order val="1"/>
          <c:tx>
            <c:strRef>
              <c:f>'tiempos Mtto Prev TP'!$C$8:$C$9</c:f>
              <c:strCache>
                <c:ptCount val="2"/>
                <c:pt idx="0">
                  <c:v>CCM 02</c:v>
                </c:pt>
              </c:strCache>
            </c:strRef>
          </c:tx>
          <c:invertIfNegative val="0"/>
          <c:cat>
            <c:numRef>
              <c:f>'tiempos Mtto Prev TP'!$A$10:$A$43</c:f>
              <c:numCache>
                <c:formatCode>d\-mmm\-yy</c:formatCode>
                <c:ptCount val="31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</c:numCache>
            </c:numRef>
          </c:cat>
          <c:val>
            <c:numRef>
              <c:f>'tiempos Mtto Prev TP'!$C$11:$C$43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5-4B86-AE94-4437666853BC}"/>
            </c:ext>
          </c:extLst>
        </c:ser>
        <c:ser>
          <c:idx val="2"/>
          <c:order val="2"/>
          <c:tx>
            <c:strRef>
              <c:f>'tiempos Mtto Prev TP'!$D$8:$D$9</c:f>
              <c:strCache>
                <c:ptCount val="2"/>
                <c:pt idx="0">
                  <c:v>CCM 03</c:v>
                </c:pt>
              </c:strCache>
            </c:strRef>
          </c:tx>
          <c:invertIfNegative val="0"/>
          <c:cat>
            <c:numRef>
              <c:f>'tiempos Mtto Prev TP'!$A$10:$A$43</c:f>
              <c:numCache>
                <c:formatCode>d\-mmm\-yy</c:formatCode>
                <c:ptCount val="31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</c:numCache>
            </c:numRef>
          </c:cat>
          <c:val>
            <c:numRef>
              <c:f>'tiempos Mtto Prev TP'!$D$11:$D$43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85-4B86-AE94-4437666853BC}"/>
            </c:ext>
          </c:extLst>
        </c:ser>
        <c:ser>
          <c:idx val="3"/>
          <c:order val="3"/>
          <c:tx>
            <c:strRef>
              <c:f>'tiempos Mtto Prev TP'!$E$8:$E$9</c:f>
              <c:strCache>
                <c:ptCount val="2"/>
                <c:pt idx="0">
                  <c:v>CCM 04</c:v>
                </c:pt>
              </c:strCache>
            </c:strRef>
          </c:tx>
          <c:invertIfNegative val="0"/>
          <c:cat>
            <c:numRef>
              <c:f>'tiempos Mtto Prev TP'!$A$10:$A$43</c:f>
              <c:numCache>
                <c:formatCode>d\-mmm\-yy</c:formatCode>
                <c:ptCount val="31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</c:numCache>
            </c:numRef>
          </c:cat>
          <c:val>
            <c:numRef>
              <c:f>'tiempos Mtto Prev TP'!$E$11:$E$43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85-4B86-AE94-4437666853BC}"/>
            </c:ext>
          </c:extLst>
        </c:ser>
        <c:ser>
          <c:idx val="4"/>
          <c:order val="4"/>
          <c:tx>
            <c:strRef>
              <c:f>'tiempos Mtto Prev TP'!$F$8:$F$9</c:f>
              <c:strCache>
                <c:ptCount val="2"/>
                <c:pt idx="0">
                  <c:v>CCM 05</c:v>
                </c:pt>
              </c:strCache>
            </c:strRef>
          </c:tx>
          <c:invertIfNegative val="0"/>
          <c:cat>
            <c:numRef>
              <c:f>'tiempos Mtto Prev TP'!$A$10:$A$43</c:f>
              <c:numCache>
                <c:formatCode>d\-mmm\-yy</c:formatCode>
                <c:ptCount val="31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</c:numCache>
            </c:numRef>
          </c:cat>
          <c:val>
            <c:numRef>
              <c:f>'tiempos Mtto Prev TP'!$F$11:$F$43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85-4B86-AE94-4437666853BC}"/>
            </c:ext>
          </c:extLst>
        </c:ser>
        <c:ser>
          <c:idx val="6"/>
          <c:order val="5"/>
          <c:tx>
            <c:v>PMV 02</c:v>
          </c:tx>
          <c:invertIfNegative val="0"/>
          <c:cat>
            <c:numRef>
              <c:f>'tiempos Mtto Prev TP'!$A$10:$A$43</c:f>
              <c:numCache>
                <c:formatCode>d\-mmm\-yy</c:formatCode>
                <c:ptCount val="31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</c:numCache>
            </c:numRef>
          </c:cat>
          <c:val>
            <c:numRef>
              <c:f>'tiempos Mtto Prev TP'!$J$11:$J$43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85-4B86-AE94-4437666853BC}"/>
            </c:ext>
          </c:extLst>
        </c:ser>
        <c:ser>
          <c:idx val="8"/>
          <c:order val="6"/>
          <c:tx>
            <c:v>PMV 04</c:v>
          </c:tx>
          <c:invertIfNegative val="0"/>
          <c:cat>
            <c:numRef>
              <c:f>'tiempos Mtto Prev TP'!$A$10:$A$43</c:f>
              <c:numCache>
                <c:formatCode>d\-mmm\-yy</c:formatCode>
                <c:ptCount val="31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</c:numCache>
            </c:numRef>
          </c:cat>
          <c:val>
            <c:numRef>
              <c:f>'tiempos Mtto Prev TP'!$K$11:$K$43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85-4B86-AE94-4437666853BC}"/>
            </c:ext>
          </c:extLst>
        </c:ser>
        <c:ser>
          <c:idx val="9"/>
          <c:order val="7"/>
          <c:tx>
            <c:v>CCM 06</c:v>
          </c:tx>
          <c:invertIfNegative val="0"/>
          <c:val>
            <c:numRef>
              <c:f>'tiempos Mtto Prev TP'!$G$11:$G$43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85-4B86-AE94-4437666853BC}"/>
            </c:ext>
          </c:extLst>
        </c:ser>
        <c:ser>
          <c:idx val="10"/>
          <c:order val="8"/>
          <c:tx>
            <c:v>CCM07</c:v>
          </c:tx>
          <c:invertIfNegative val="0"/>
          <c:val>
            <c:numRef>
              <c:f>'tiempos Mtto Prev TP'!$H$11:$H$39</c:f>
              <c:numCache>
                <c:formatCode>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85-4B86-AE94-4437666853BC}"/>
            </c:ext>
          </c:extLst>
        </c:ser>
        <c:ser>
          <c:idx val="5"/>
          <c:order val="9"/>
          <c:tx>
            <c:strRef>
              <c:f>'tiempos Mtto Prev TP'!$I$8:$I$9</c:f>
              <c:strCache>
                <c:ptCount val="2"/>
                <c:pt idx="0">
                  <c:v>CCM 08</c:v>
                </c:pt>
              </c:strCache>
            </c:strRef>
          </c:tx>
          <c:invertIfNegative val="0"/>
          <c:val>
            <c:numRef>
              <c:f>'tiempos Mtto Prev TP'!$I$10:$I$41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3-43B0-9876-61E2E79E4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gapDepth val="95"/>
        <c:shape val="box"/>
        <c:axId val="-1470752144"/>
        <c:axId val="-1470748880"/>
        <c:axId val="0"/>
      </c:bar3DChart>
      <c:dateAx>
        <c:axId val="-1470752144"/>
        <c:scaling>
          <c:orientation val="minMax"/>
        </c:scaling>
        <c:delete val="0"/>
        <c:axPos val="b"/>
        <c:numFmt formatCode="dd\-mmm\-yy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0748880"/>
        <c:crosses val="autoZero"/>
        <c:auto val="1"/>
        <c:lblOffset val="100"/>
        <c:baseTimeUnit val="days"/>
      </c:dateAx>
      <c:valAx>
        <c:axId val="-14707488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O"/>
                  <a:t>Total Minutos Perdidos</a:t>
                </a:r>
              </a:p>
            </c:rich>
          </c:tx>
          <c:layout>
            <c:manualLayout>
              <c:xMode val="edge"/>
              <c:yMode val="edge"/>
              <c:x val="0.14638513346209112"/>
              <c:y val="0.22715084143893777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07521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</c:dTable>
      <c:spPr>
        <a:solidFill>
          <a:schemeClr val="bg1"/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accent1">
        <a:lumMod val="60000"/>
        <a:lumOff val="40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089" l="0.70000000000000062" r="0.70000000000000062" t="0.75000000000000089" header="0.30000000000000032" footer="0.30000000000000032"/>
    <c:pageSetup orientation="landscape" verticalDpi="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O" sz="1800" b="1" i="0" u="none" strike="noStrike" baseline="0">
                <a:solidFill>
                  <a:srgbClr val="000000"/>
                </a:solidFill>
                <a:latin typeface="Calibri"/>
              </a:rPr>
              <a:t>TIEMPOS MTTO PREVENTIVO TAPA PLASTICA IBERPLAST S.A.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O" sz="1800" b="1" i="0" u="none" strike="noStrike" baseline="0">
                <a:solidFill>
                  <a:srgbClr val="000000"/>
                </a:solidFill>
                <a:latin typeface="Calibri"/>
              </a:rPr>
              <a:t> DEPARTAMENTO DE MANTENIMIENTO DICIEMBRE 2024</a:t>
            </a:r>
          </a:p>
        </c:rich>
      </c:tx>
      <c:layout>
        <c:manualLayout>
          <c:xMode val="edge"/>
          <c:yMode val="edge"/>
          <c:x val="0.29753329162499093"/>
          <c:y val="1.4206806551415711E-2"/>
        </c:manualLayout>
      </c:layout>
      <c:overlay val="0"/>
    </c:title>
    <c:autoTitleDeleted val="0"/>
    <c:view3D>
      <c:rotX val="40"/>
      <c:rotY val="190"/>
      <c:rAngAx val="0"/>
      <c:perspective val="5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5262877078657602"/>
          <c:y val="0.1423378536016332"/>
          <c:w val="0.72714133776598056"/>
          <c:h val="0.81821985295316413"/>
        </c:manualLayout>
      </c:layout>
      <c:pie3DChart>
        <c:varyColors val="1"/>
        <c:ser>
          <c:idx val="0"/>
          <c:order val="0"/>
          <c:explosion val="10"/>
          <c:dPt>
            <c:idx val="0"/>
            <c:bubble3D val="0"/>
            <c:explosion val="4"/>
            <c:extLst>
              <c:ext xmlns:c16="http://schemas.microsoft.com/office/drawing/2014/chart" uri="{C3380CC4-5D6E-409C-BE32-E72D297353CC}">
                <c16:uniqueId val="{00000000-8C0F-430A-9D29-C874F93D554C}"/>
              </c:ext>
            </c:extLst>
          </c:dPt>
          <c:dPt>
            <c:idx val="1"/>
            <c:bubble3D val="0"/>
            <c:explosion val="4"/>
            <c:extLst>
              <c:ext xmlns:c16="http://schemas.microsoft.com/office/drawing/2014/chart" uri="{C3380CC4-5D6E-409C-BE32-E72D297353CC}">
                <c16:uniqueId val="{00000001-8C0F-430A-9D29-C874F93D554C}"/>
              </c:ext>
            </c:extLst>
          </c:dPt>
          <c:dPt>
            <c:idx val="2"/>
            <c:bubble3D val="0"/>
            <c:explosion val="5"/>
            <c:extLst>
              <c:ext xmlns:c16="http://schemas.microsoft.com/office/drawing/2014/chart" uri="{C3380CC4-5D6E-409C-BE32-E72D297353CC}">
                <c16:uniqueId val="{00000002-8C0F-430A-9D29-C874F93D554C}"/>
              </c:ext>
            </c:extLst>
          </c:dPt>
          <c:dPt>
            <c:idx val="3"/>
            <c:bubble3D val="0"/>
            <c:explosion val="7"/>
            <c:extLst>
              <c:ext xmlns:c16="http://schemas.microsoft.com/office/drawing/2014/chart" uri="{C3380CC4-5D6E-409C-BE32-E72D297353CC}">
                <c16:uniqueId val="{00000003-8C0F-430A-9D29-C874F93D554C}"/>
              </c:ext>
            </c:extLst>
          </c:dPt>
          <c:dPt>
            <c:idx val="4"/>
            <c:bubble3D val="0"/>
            <c:explosion val="17"/>
            <c:extLst>
              <c:ext xmlns:c16="http://schemas.microsoft.com/office/drawing/2014/chart" uri="{C3380CC4-5D6E-409C-BE32-E72D297353CC}">
                <c16:uniqueId val="{00000004-8C0F-430A-9D29-C874F93D554C}"/>
              </c:ext>
            </c:extLst>
          </c:dPt>
          <c:dPt>
            <c:idx val="5"/>
            <c:bubble3D val="0"/>
            <c:explosion val="7"/>
            <c:extLst>
              <c:ext xmlns:c16="http://schemas.microsoft.com/office/drawing/2014/chart" uri="{C3380CC4-5D6E-409C-BE32-E72D297353CC}">
                <c16:uniqueId val="{00000005-8C0F-430A-9D29-C874F93D554C}"/>
              </c:ext>
            </c:extLst>
          </c:dPt>
          <c:dLbls>
            <c:dLbl>
              <c:idx val="0"/>
              <c:layout>
                <c:manualLayout>
                  <c:x val="-2.5738695134059509E-2"/>
                  <c:y val="-1.574524553145940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0F-430A-9D29-C874F93D554C}"/>
                </c:ext>
              </c:extLst>
            </c:dLbl>
            <c:dLbl>
              <c:idx val="1"/>
              <c:layout>
                <c:manualLayout>
                  <c:x val="-7.4952419197627698E-2"/>
                  <c:y val="1.78797343069546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0F-430A-9D29-C874F93D554C}"/>
                </c:ext>
              </c:extLst>
            </c:dLbl>
            <c:dLbl>
              <c:idx val="2"/>
              <c:layout>
                <c:manualLayout>
                  <c:x val="-3.7759832889041361E-2"/>
                  <c:y val="-2.3075118403495698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0F-430A-9D29-C874F93D554C}"/>
                </c:ext>
              </c:extLst>
            </c:dLbl>
            <c:dLbl>
              <c:idx val="3"/>
              <c:layout>
                <c:manualLayout>
                  <c:x val="1.3451065674815731E-2"/>
                  <c:y val="-1.987888385460197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0F-430A-9D29-C874F93D554C}"/>
                </c:ext>
              </c:extLst>
            </c:dLbl>
            <c:dLbl>
              <c:idx val="4"/>
              <c:layout>
                <c:manualLayout>
                  <c:x val="-5.3030714482764557E-2"/>
                  <c:y val="-1.957653338025484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0F-430A-9D29-C874F93D554C}"/>
                </c:ext>
              </c:extLst>
            </c:dLbl>
            <c:dLbl>
              <c:idx val="5"/>
              <c:layout>
                <c:manualLayout>
                  <c:x val="3.866804101588299E-2"/>
                  <c:y val="-8.9721256909925367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0F-430A-9D29-C874F93D554C}"/>
                </c:ext>
              </c:extLst>
            </c:dLbl>
            <c:dLbl>
              <c:idx val="6"/>
              <c:layout>
                <c:manualLayout>
                  <c:x val="9.5261107141610506E-3"/>
                  <c:y val="-7.15592603997126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0F-430A-9D29-C874F93D554C}"/>
                </c:ext>
              </c:extLst>
            </c:dLbl>
            <c:dLbl>
              <c:idx val="7"/>
              <c:layout>
                <c:manualLayout>
                  <c:x val="-2.3579829238961628E-2"/>
                  <c:y val="3.200853384946995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0F-430A-9D29-C874F93D554C}"/>
                </c:ext>
              </c:extLst>
            </c:dLbl>
            <c:dLbl>
              <c:idx val="8"/>
              <c:layout>
                <c:manualLayout>
                  <c:x val="-4.2741254547777816E-3"/>
                  <c:y val="3.144650214812538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C0F-430A-9D29-C874F93D55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'tiempos Mtto Prev TP'!$B$8:$K$9</c:f>
              <c:strCache>
                <c:ptCount val="10"/>
                <c:pt idx="0">
                  <c:v>CCM 01</c:v>
                </c:pt>
                <c:pt idx="1">
                  <c:v>CCM 02</c:v>
                </c:pt>
                <c:pt idx="2">
                  <c:v>CCM 03</c:v>
                </c:pt>
                <c:pt idx="3">
                  <c:v>CCM 04</c:v>
                </c:pt>
                <c:pt idx="4">
                  <c:v>CCM 05</c:v>
                </c:pt>
                <c:pt idx="5">
                  <c:v>CCM 06</c:v>
                </c:pt>
                <c:pt idx="6">
                  <c:v>CCM 07</c:v>
                </c:pt>
                <c:pt idx="7">
                  <c:v>CCM 08</c:v>
                </c:pt>
                <c:pt idx="8">
                  <c:v>PMV 02</c:v>
                </c:pt>
                <c:pt idx="9">
                  <c:v>PMV 04</c:v>
                </c:pt>
              </c:strCache>
            </c:strRef>
          </c:cat>
          <c:val>
            <c:numRef>
              <c:f>'tiempos Mtto Prev TP'!$B$44:$K$44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0F-430A-9D29-C874F93D5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olidFill>
          <a:schemeClr val="bg1"/>
        </a:solidFill>
      </c:spPr>
    </c:plotArea>
    <c:plotVisOnly val="1"/>
    <c:dispBlanksAs val="zero"/>
    <c:showDLblsOverMax val="0"/>
  </c:chart>
  <c:spPr>
    <a:solidFill>
      <a:schemeClr val="bg2">
        <a:lumMod val="75000"/>
      </a:schemeClr>
    </a:solidFill>
    <a:ln w="9525"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089" l="0.70000000000000062" r="0.70000000000000062" t="0.75000000000000089" header="0.30000000000000032" footer="0.30000000000000032"/>
    <c:pageSetup orientation="landscape" verticalDpi="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O" sz="1800" b="1" i="0" u="none" strike="noStrike" baseline="0">
                <a:solidFill>
                  <a:srgbClr val="000000"/>
                </a:solidFill>
                <a:latin typeface="Calibri"/>
              </a:rPr>
              <a:t>TIEMPOS CAMBIOS Y MTTO MOLDES PREVENTIVO TAPA PLASTICA IBERPLAST S.A.</a:t>
            </a:r>
          </a:p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O" sz="1800" b="1" i="0" u="none" strike="noStrike" baseline="0">
                <a:solidFill>
                  <a:srgbClr val="000000"/>
                </a:solidFill>
                <a:latin typeface="Calibri"/>
              </a:rPr>
              <a:t> DEPARTAMENTO DE MANTENIMIENTO DICIEMBRE 2024</a:t>
            </a:r>
          </a:p>
        </c:rich>
      </c:tx>
      <c:layout>
        <c:manualLayout>
          <c:xMode val="edge"/>
          <c:yMode val="edge"/>
          <c:x val="0.1620738167466986"/>
          <c:y val="5.7656916522221179E-2"/>
        </c:manualLayout>
      </c:layout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  <c:spPr>
        <a:ln>
          <a:solidFill>
            <a:schemeClr val="tx1"/>
          </a:solidFill>
        </a:ln>
      </c:spPr>
    </c:sideWall>
    <c:backWall>
      <c:thickness val="0"/>
      <c:spPr>
        <a:ln>
          <a:solidFill>
            <a:schemeClr val="tx1"/>
          </a:solidFill>
        </a:ln>
      </c:spPr>
    </c:backWall>
    <c:plotArea>
      <c:layout>
        <c:manualLayout>
          <c:layoutTarget val="inner"/>
          <c:xMode val="edge"/>
          <c:yMode val="edge"/>
          <c:x val="0.18011156859418478"/>
          <c:y val="0.23540026969830027"/>
          <c:w val="0.77128100360153684"/>
          <c:h val="0.33712969878867816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'tiempos Cambios TP'!$B$8:$B$9</c:f>
              <c:strCache>
                <c:ptCount val="2"/>
                <c:pt idx="0">
                  <c:v>CCM 01</c:v>
                </c:pt>
              </c:strCache>
            </c:strRef>
          </c:tx>
          <c:invertIfNegative val="0"/>
          <c:cat>
            <c:numRef>
              <c:f>'tiempos Cambios TP'!$A$10:$A$42</c:f>
              <c:numCache>
                <c:formatCode>d\-mmm\-yy</c:formatCode>
                <c:ptCount val="33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  <c:pt idx="31">
                  <c:v>46202</c:v>
                </c:pt>
                <c:pt idx="32">
                  <c:v>46203</c:v>
                </c:pt>
              </c:numCache>
            </c:numRef>
          </c:cat>
          <c:val>
            <c:numRef>
              <c:f>'tiempos Cambios TP'!$B$11:$B$42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7-4A56-A3FC-758BA35C9BF8}"/>
            </c:ext>
          </c:extLst>
        </c:ser>
        <c:ser>
          <c:idx val="1"/>
          <c:order val="1"/>
          <c:tx>
            <c:strRef>
              <c:f>'tiempos Cambios TP'!$C$8:$C$9</c:f>
              <c:strCache>
                <c:ptCount val="2"/>
                <c:pt idx="0">
                  <c:v>CCM 02</c:v>
                </c:pt>
              </c:strCache>
            </c:strRef>
          </c:tx>
          <c:invertIfNegative val="0"/>
          <c:cat>
            <c:numRef>
              <c:f>'tiempos Cambios TP'!$A$10:$A$42</c:f>
              <c:numCache>
                <c:formatCode>d\-mmm\-yy</c:formatCode>
                <c:ptCount val="33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  <c:pt idx="31">
                  <c:v>46202</c:v>
                </c:pt>
                <c:pt idx="32">
                  <c:v>46203</c:v>
                </c:pt>
              </c:numCache>
            </c:numRef>
          </c:cat>
          <c:val>
            <c:numRef>
              <c:f>'tiempos Cambios TP'!$C$11:$C$42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7-4A56-A3FC-758BA35C9BF8}"/>
            </c:ext>
          </c:extLst>
        </c:ser>
        <c:ser>
          <c:idx val="2"/>
          <c:order val="2"/>
          <c:tx>
            <c:strRef>
              <c:f>'tiempos Cambios TP'!$D$8:$D$9</c:f>
              <c:strCache>
                <c:ptCount val="2"/>
                <c:pt idx="0">
                  <c:v>CCM 03</c:v>
                </c:pt>
              </c:strCache>
            </c:strRef>
          </c:tx>
          <c:invertIfNegative val="0"/>
          <c:cat>
            <c:numRef>
              <c:f>'tiempos Cambios TP'!$A$10:$A$42</c:f>
              <c:numCache>
                <c:formatCode>d\-mmm\-yy</c:formatCode>
                <c:ptCount val="33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  <c:pt idx="31">
                  <c:v>46202</c:v>
                </c:pt>
                <c:pt idx="32">
                  <c:v>46203</c:v>
                </c:pt>
              </c:numCache>
            </c:numRef>
          </c:cat>
          <c:val>
            <c:numRef>
              <c:f>'tiempos Cambios TP'!$D$11:$D$42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47-4A56-A3FC-758BA35C9BF8}"/>
            </c:ext>
          </c:extLst>
        </c:ser>
        <c:ser>
          <c:idx val="3"/>
          <c:order val="3"/>
          <c:tx>
            <c:strRef>
              <c:f>'tiempos Cambios TP'!$E$8:$E$9</c:f>
              <c:strCache>
                <c:ptCount val="2"/>
                <c:pt idx="0">
                  <c:v>CCM 04</c:v>
                </c:pt>
              </c:strCache>
            </c:strRef>
          </c:tx>
          <c:invertIfNegative val="0"/>
          <c:cat>
            <c:numRef>
              <c:f>'tiempos Cambios TP'!$A$10:$A$42</c:f>
              <c:numCache>
                <c:formatCode>d\-mmm\-yy</c:formatCode>
                <c:ptCount val="33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  <c:pt idx="31">
                  <c:v>46202</c:v>
                </c:pt>
                <c:pt idx="32">
                  <c:v>46203</c:v>
                </c:pt>
              </c:numCache>
            </c:numRef>
          </c:cat>
          <c:val>
            <c:numRef>
              <c:f>'tiempos Cambios TP'!$E$11:$E$42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47-4A56-A3FC-758BA35C9BF8}"/>
            </c:ext>
          </c:extLst>
        </c:ser>
        <c:ser>
          <c:idx val="4"/>
          <c:order val="4"/>
          <c:tx>
            <c:strRef>
              <c:f>'tiempos Cambios TP'!$F$8:$F$9</c:f>
              <c:strCache>
                <c:ptCount val="2"/>
                <c:pt idx="0">
                  <c:v>CCM 05</c:v>
                </c:pt>
              </c:strCache>
            </c:strRef>
          </c:tx>
          <c:invertIfNegative val="0"/>
          <c:cat>
            <c:numRef>
              <c:f>'tiempos Cambios TP'!$A$10:$A$42</c:f>
              <c:numCache>
                <c:formatCode>d\-mmm\-yy</c:formatCode>
                <c:ptCount val="33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  <c:pt idx="31">
                  <c:v>46202</c:v>
                </c:pt>
                <c:pt idx="32">
                  <c:v>46203</c:v>
                </c:pt>
              </c:numCache>
            </c:numRef>
          </c:cat>
          <c:val>
            <c:numRef>
              <c:f>'tiempos Cambios TP'!$F$11:$F$42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47-4A56-A3FC-758BA35C9BF8}"/>
            </c:ext>
          </c:extLst>
        </c:ser>
        <c:ser>
          <c:idx val="6"/>
          <c:order val="5"/>
          <c:tx>
            <c:v>PMV 02</c:v>
          </c:tx>
          <c:invertIfNegative val="0"/>
          <c:cat>
            <c:numRef>
              <c:f>'tiempos Cambios TP'!$A$10:$A$42</c:f>
              <c:numCache>
                <c:formatCode>d\-mmm\-yy</c:formatCode>
                <c:ptCount val="33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  <c:pt idx="31">
                  <c:v>46202</c:v>
                </c:pt>
                <c:pt idx="32">
                  <c:v>46203</c:v>
                </c:pt>
              </c:numCache>
            </c:numRef>
          </c:cat>
          <c:val>
            <c:numRef>
              <c:f>'tiempos Cambios TP'!$J$11:$J$42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47-4A56-A3FC-758BA35C9BF8}"/>
            </c:ext>
          </c:extLst>
        </c:ser>
        <c:ser>
          <c:idx val="8"/>
          <c:order val="6"/>
          <c:tx>
            <c:v>PMV 04</c:v>
          </c:tx>
          <c:invertIfNegative val="0"/>
          <c:cat>
            <c:numRef>
              <c:f>'tiempos Cambios TP'!$A$10:$A$42</c:f>
              <c:numCache>
                <c:formatCode>d\-mmm\-yy</c:formatCode>
                <c:ptCount val="33"/>
                <c:pt idx="0">
                  <c:v>46171</c:v>
                </c:pt>
                <c:pt idx="1">
                  <c:v>46172</c:v>
                </c:pt>
                <c:pt idx="2">
                  <c:v>46173</c:v>
                </c:pt>
                <c:pt idx="3">
                  <c:v>46174</c:v>
                </c:pt>
                <c:pt idx="4">
                  <c:v>46175</c:v>
                </c:pt>
                <c:pt idx="5">
                  <c:v>46176</c:v>
                </c:pt>
                <c:pt idx="6">
                  <c:v>46177</c:v>
                </c:pt>
                <c:pt idx="7">
                  <c:v>46178</c:v>
                </c:pt>
                <c:pt idx="8">
                  <c:v>46179</c:v>
                </c:pt>
                <c:pt idx="9">
                  <c:v>46180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46186</c:v>
                </c:pt>
                <c:pt idx="16">
                  <c:v>46187</c:v>
                </c:pt>
                <c:pt idx="17">
                  <c:v>46188</c:v>
                </c:pt>
                <c:pt idx="18">
                  <c:v>46189</c:v>
                </c:pt>
                <c:pt idx="19">
                  <c:v>46190</c:v>
                </c:pt>
                <c:pt idx="20">
                  <c:v>46191</c:v>
                </c:pt>
                <c:pt idx="21">
                  <c:v>46192</c:v>
                </c:pt>
                <c:pt idx="22">
                  <c:v>46193</c:v>
                </c:pt>
                <c:pt idx="23">
                  <c:v>46194</c:v>
                </c:pt>
                <c:pt idx="24">
                  <c:v>46195</c:v>
                </c:pt>
                <c:pt idx="25">
                  <c:v>46196</c:v>
                </c:pt>
                <c:pt idx="26">
                  <c:v>46197</c:v>
                </c:pt>
                <c:pt idx="27">
                  <c:v>46198</c:v>
                </c:pt>
                <c:pt idx="28">
                  <c:v>46199</c:v>
                </c:pt>
                <c:pt idx="29">
                  <c:v>46200</c:v>
                </c:pt>
                <c:pt idx="30">
                  <c:v>46201</c:v>
                </c:pt>
                <c:pt idx="31">
                  <c:v>46202</c:v>
                </c:pt>
                <c:pt idx="32">
                  <c:v>46203</c:v>
                </c:pt>
              </c:numCache>
            </c:numRef>
          </c:cat>
          <c:val>
            <c:numRef>
              <c:f>'tiempos Cambios TP'!$K$11:$K$42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47-4A56-A3FC-758BA35C9BF8}"/>
            </c:ext>
          </c:extLst>
        </c:ser>
        <c:ser>
          <c:idx val="9"/>
          <c:order val="7"/>
          <c:tx>
            <c:v>CCM 06</c:v>
          </c:tx>
          <c:invertIfNegative val="0"/>
          <c:val>
            <c:numRef>
              <c:f>'tiempos Cambios TP'!$G$11:$G$42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47-4A56-A3FC-758BA35C9BF8}"/>
            </c:ext>
          </c:extLst>
        </c:ser>
        <c:ser>
          <c:idx val="10"/>
          <c:order val="8"/>
          <c:tx>
            <c:v>CCM07</c:v>
          </c:tx>
          <c:invertIfNegative val="0"/>
          <c:val>
            <c:numRef>
              <c:f>'tiempos Cambios TP'!$H$11:$H$42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47-4A56-A3FC-758BA35C9BF8}"/>
            </c:ext>
          </c:extLst>
        </c:ser>
        <c:ser>
          <c:idx val="5"/>
          <c:order val="9"/>
          <c:tx>
            <c:strRef>
              <c:f>'tiempos Cambios TP'!$I$8:$I$9</c:f>
              <c:strCache>
                <c:ptCount val="2"/>
                <c:pt idx="0">
                  <c:v>CCM 08</c:v>
                </c:pt>
              </c:strCache>
            </c:strRef>
          </c:tx>
          <c:invertIfNegative val="0"/>
          <c:val>
            <c:numRef>
              <c:f>'tiempos Cambios TP'!$I$10:$I$40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68-47E5-AC41-4981B317D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gapDepth val="95"/>
        <c:shape val="box"/>
        <c:axId val="-1470741808"/>
        <c:axId val="-1470746160"/>
        <c:axId val="0"/>
      </c:bar3DChart>
      <c:dateAx>
        <c:axId val="-1470741808"/>
        <c:scaling>
          <c:orientation val="minMax"/>
        </c:scaling>
        <c:delete val="0"/>
        <c:axPos val="b"/>
        <c:numFmt formatCode="dd\-mmm\-yy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0746160"/>
        <c:crosses val="autoZero"/>
        <c:auto val="1"/>
        <c:lblOffset val="100"/>
        <c:baseTimeUnit val="days"/>
      </c:dateAx>
      <c:valAx>
        <c:axId val="-1470746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O"/>
                  <a:t>Total Minutos Perdidos</a:t>
                </a:r>
              </a:p>
            </c:rich>
          </c:tx>
          <c:layout>
            <c:manualLayout>
              <c:xMode val="edge"/>
              <c:yMode val="edge"/>
              <c:x val="8.4644266164842816E-2"/>
              <c:y val="0.40047182337501958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-14707418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</c:dTable>
      <c:spPr>
        <a:solidFill>
          <a:schemeClr val="bg1"/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chemeClr val="accent1">
        <a:lumMod val="60000"/>
        <a:lumOff val="40000"/>
      </a:schemeClr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089" l="0.70000000000000062" r="0.70000000000000062" t="0.75000000000000089" header="0.30000000000000032" footer="0.30000000000000032"/>
    <c:pageSetup orientation="landscape" verticalDpi="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O" sz="1800" b="1" i="0" u="none" strike="noStrike" baseline="0">
                <a:solidFill>
                  <a:srgbClr val="000000"/>
                </a:solidFill>
                <a:latin typeface="Calibri"/>
              </a:rPr>
              <a:t>TIEMPOS CAMBIOS Y MTTO MOLDES TAPA PLASTICA IBERPLAST S.A.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O" sz="1800" b="1" i="0" u="none" strike="noStrike" baseline="0">
                <a:solidFill>
                  <a:srgbClr val="000000"/>
                </a:solidFill>
                <a:latin typeface="Calibri"/>
              </a:rPr>
              <a:t> DEPARTAMENTO DE MANTENIMIENTO DICIEMBRE 2024</a:t>
            </a:r>
          </a:p>
        </c:rich>
      </c:tx>
      <c:layout>
        <c:manualLayout>
          <c:xMode val="edge"/>
          <c:yMode val="edge"/>
          <c:x val="0.25205902572845346"/>
          <c:y val="1.4206806551415711E-2"/>
        </c:manualLayout>
      </c:layout>
      <c:overlay val="0"/>
    </c:title>
    <c:autoTitleDeleted val="0"/>
    <c:view3D>
      <c:rotX val="40"/>
      <c:rotY val="190"/>
      <c:rAngAx val="0"/>
      <c:perspective val="5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4946960660758418"/>
          <c:y val="0.14047566679863341"/>
          <c:w val="0.72714133776598056"/>
          <c:h val="0.81821985295316413"/>
        </c:manualLayout>
      </c:layout>
      <c:pie3DChart>
        <c:varyColors val="1"/>
        <c:ser>
          <c:idx val="0"/>
          <c:order val="0"/>
          <c:explosion val="10"/>
          <c:dPt>
            <c:idx val="0"/>
            <c:bubble3D val="0"/>
            <c:explosion val="4"/>
            <c:extLst>
              <c:ext xmlns:c16="http://schemas.microsoft.com/office/drawing/2014/chart" uri="{C3380CC4-5D6E-409C-BE32-E72D297353CC}">
                <c16:uniqueId val="{00000000-7578-4F40-8FF9-CE0F224C2C4A}"/>
              </c:ext>
            </c:extLst>
          </c:dPt>
          <c:dPt>
            <c:idx val="1"/>
            <c:bubble3D val="0"/>
            <c:explosion val="4"/>
            <c:extLst>
              <c:ext xmlns:c16="http://schemas.microsoft.com/office/drawing/2014/chart" uri="{C3380CC4-5D6E-409C-BE32-E72D297353CC}">
                <c16:uniqueId val="{00000001-7578-4F40-8FF9-CE0F224C2C4A}"/>
              </c:ext>
            </c:extLst>
          </c:dPt>
          <c:dPt>
            <c:idx val="2"/>
            <c:bubble3D val="0"/>
            <c:explosion val="5"/>
            <c:extLst>
              <c:ext xmlns:c16="http://schemas.microsoft.com/office/drawing/2014/chart" uri="{C3380CC4-5D6E-409C-BE32-E72D297353CC}">
                <c16:uniqueId val="{00000002-7578-4F40-8FF9-CE0F224C2C4A}"/>
              </c:ext>
            </c:extLst>
          </c:dPt>
          <c:dPt>
            <c:idx val="3"/>
            <c:bubble3D val="0"/>
            <c:explosion val="7"/>
            <c:extLst>
              <c:ext xmlns:c16="http://schemas.microsoft.com/office/drawing/2014/chart" uri="{C3380CC4-5D6E-409C-BE32-E72D297353CC}">
                <c16:uniqueId val="{00000003-7578-4F40-8FF9-CE0F224C2C4A}"/>
              </c:ext>
            </c:extLst>
          </c:dPt>
          <c:dPt>
            <c:idx val="4"/>
            <c:bubble3D val="0"/>
            <c:explosion val="17"/>
            <c:extLst>
              <c:ext xmlns:c16="http://schemas.microsoft.com/office/drawing/2014/chart" uri="{C3380CC4-5D6E-409C-BE32-E72D297353CC}">
                <c16:uniqueId val="{00000004-7578-4F40-8FF9-CE0F224C2C4A}"/>
              </c:ext>
            </c:extLst>
          </c:dPt>
          <c:dPt>
            <c:idx val="5"/>
            <c:bubble3D val="0"/>
            <c:explosion val="7"/>
            <c:extLst>
              <c:ext xmlns:c16="http://schemas.microsoft.com/office/drawing/2014/chart" uri="{C3380CC4-5D6E-409C-BE32-E72D297353CC}">
                <c16:uniqueId val="{00000005-7578-4F40-8FF9-CE0F224C2C4A}"/>
              </c:ext>
            </c:extLst>
          </c:dPt>
          <c:dLbls>
            <c:dLbl>
              <c:idx val="0"/>
              <c:layout>
                <c:manualLayout>
                  <c:x val="1.0731499332794971E-2"/>
                  <c:y val="-0.1684454317511990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578-4F40-8FF9-CE0F224C2C4A}"/>
                </c:ext>
              </c:extLst>
            </c:dLbl>
            <c:dLbl>
              <c:idx val="1"/>
              <c:layout>
                <c:manualLayout>
                  <c:x val="-7.4952419197627698E-2"/>
                  <c:y val="1.78797343069546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78-4F40-8FF9-CE0F224C2C4A}"/>
                </c:ext>
              </c:extLst>
            </c:dLbl>
            <c:dLbl>
              <c:idx val="2"/>
              <c:layout>
                <c:manualLayout>
                  <c:x val="-3.7759832889041361E-2"/>
                  <c:y val="-2.3075118403495698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78-4F40-8FF9-CE0F224C2C4A}"/>
                </c:ext>
              </c:extLst>
            </c:dLbl>
            <c:dLbl>
              <c:idx val="3"/>
              <c:layout>
                <c:manualLayout>
                  <c:x val="1.3451065674815731E-2"/>
                  <c:y val="-1.987888385460197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78-4F40-8FF9-CE0F224C2C4A}"/>
                </c:ext>
              </c:extLst>
            </c:dLbl>
            <c:dLbl>
              <c:idx val="4"/>
              <c:layout>
                <c:manualLayout>
                  <c:x val="-3.9340843055615811E-2"/>
                  <c:y val="-0.1351207495711080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78-4F40-8FF9-CE0F224C2C4A}"/>
                </c:ext>
              </c:extLst>
            </c:dLbl>
            <c:dLbl>
              <c:idx val="5"/>
              <c:layout>
                <c:manualLayout>
                  <c:x val="-5.5054924908443395E-2"/>
                  <c:y val="-9.718382967492190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78-4F40-8FF9-CE0F224C2C4A}"/>
                </c:ext>
              </c:extLst>
            </c:dLbl>
            <c:dLbl>
              <c:idx val="6"/>
              <c:layout>
                <c:manualLayout>
                  <c:x val="0.17696376893851917"/>
                  <c:y val="-1.383114121907947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578-4F40-8FF9-CE0F224C2C4A}"/>
                </c:ext>
              </c:extLst>
            </c:dLbl>
            <c:dLbl>
              <c:idx val="7"/>
              <c:layout>
                <c:manualLayout>
                  <c:x val="4.4869444978118345E-2"/>
                  <c:y val="1.711095470608073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78-4F40-8FF9-CE0F224C2C4A}"/>
                </c:ext>
              </c:extLst>
            </c:dLbl>
            <c:dLbl>
              <c:idx val="8"/>
              <c:layout>
                <c:manualLayout>
                  <c:x val="-4.2741254547777816E-3"/>
                  <c:y val="3.144650214812538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578-4F40-8FF9-CE0F224C2C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'tiempos Cambios TP'!$B$8:$K$9</c:f>
              <c:strCache>
                <c:ptCount val="10"/>
                <c:pt idx="0">
                  <c:v>CCM 01</c:v>
                </c:pt>
                <c:pt idx="1">
                  <c:v>CCM 02</c:v>
                </c:pt>
                <c:pt idx="2">
                  <c:v>CCM 03</c:v>
                </c:pt>
                <c:pt idx="3">
                  <c:v>CCM 04</c:v>
                </c:pt>
                <c:pt idx="4">
                  <c:v>CCM 05</c:v>
                </c:pt>
                <c:pt idx="5">
                  <c:v>CCM 06</c:v>
                </c:pt>
                <c:pt idx="6">
                  <c:v>CCM 07</c:v>
                </c:pt>
                <c:pt idx="7">
                  <c:v>CCM 08</c:v>
                </c:pt>
                <c:pt idx="8">
                  <c:v>PMV 02</c:v>
                </c:pt>
                <c:pt idx="9">
                  <c:v>PMV 04</c:v>
                </c:pt>
              </c:strCache>
            </c:strRef>
          </c:cat>
          <c:val>
            <c:numRef>
              <c:f>'tiempos Cambios TP'!$B$43:$K$43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578-4F40-8FF9-CE0F224C2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olidFill>
          <a:schemeClr val="bg1"/>
        </a:solidFill>
      </c:spPr>
    </c:plotArea>
    <c:plotVisOnly val="1"/>
    <c:dispBlanksAs val="zero"/>
    <c:showDLblsOverMax val="0"/>
  </c:chart>
  <c:spPr>
    <a:solidFill>
      <a:schemeClr val="bg2">
        <a:lumMod val="75000"/>
      </a:schemeClr>
    </a:solidFill>
    <a:ln w="9525"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000000000000089" l="0.70000000000000062" r="0.70000000000000062" t="0.75000000000000089" header="0.30000000000000032" footer="0.30000000000000032"/>
    <c:pageSetup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hyperlink" Target="#'tiempos Cambios TP'!A1"/><Relationship Id="rId4" Type="http://schemas.openxmlformats.org/officeDocument/2006/relationships/hyperlink" Target="#'tiempos Mtto Prev TP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hyperlink" Target="#'tiempos Perdidos TP IBERPLAST'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hyperlink" Target="#'tiempos Perdidos TP IBERPLAST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hyperlink" Target="#'tiempos Perdidos TP IBERPLAST'!A1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'tiempos Perdidos TP IBERPLAST'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'tiempos Perdidos TP IBERPLAST'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hyperlink" Target="#'tiempos Perdidos TP IBERPLAST'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hyperlink" Target="#'tiempos Perdidos TP IBERPLAST'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'tiempos Perdidos TP IBERPLAST'!A1"/><Relationship Id="rId1" Type="http://schemas.openxmlformats.org/officeDocument/2006/relationships/image" Target="../media/image2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'tiempos Perdidos TP IBERPLAST'!A1"/><Relationship Id="rId1" Type="http://schemas.openxmlformats.org/officeDocument/2006/relationships/image" Target="../media/image2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'tiempos Perdidos TP IBERPLAST'!A1"/><Relationship Id="rId1" Type="http://schemas.openxmlformats.org/officeDocument/2006/relationships/image" Target="../media/image2.jpe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hyperlink" Target="#'tiempos Perdidos TP IBERPLAST'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hyperlink" Target="#'tiempos Perdidos TP IBERPLAST'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176893</xdr:rowOff>
    </xdr:from>
    <xdr:to>
      <xdr:col>9</xdr:col>
      <xdr:colOff>108857</xdr:colOff>
      <xdr:row>3</xdr:row>
      <xdr:rowOff>166008</xdr:rowOff>
    </xdr:to>
    <xdr:sp macro="" textlink="">
      <xdr:nvSpPr>
        <xdr:cNvPr id="2" name="Word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8036" y="176893"/>
          <a:ext cx="11956596" cy="56061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CO" sz="36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Tiempos Perdidos Plantas Satelites Iberplast</a:t>
          </a:r>
        </a:p>
      </xdr:txBody>
    </xdr:sp>
    <xdr:clientData/>
  </xdr:twoCellAnchor>
  <xdr:twoCellAnchor>
    <xdr:from>
      <xdr:col>10</xdr:col>
      <xdr:colOff>171450</xdr:colOff>
      <xdr:row>6</xdr:row>
      <xdr:rowOff>142875</xdr:rowOff>
    </xdr:from>
    <xdr:to>
      <xdr:col>17</xdr:col>
      <xdr:colOff>800100</xdr:colOff>
      <xdr:row>24</xdr:row>
      <xdr:rowOff>85725</xdr:rowOff>
    </xdr:to>
    <xdr:graphicFrame macro="">
      <xdr:nvGraphicFramePr>
        <xdr:cNvPr id="23266505" name="9 Gráfico">
          <a:extLst>
            <a:ext uri="{FF2B5EF4-FFF2-40B4-BE49-F238E27FC236}">
              <a16:creationId xmlns:a16="http://schemas.microsoft.com/office/drawing/2014/main" id="{00000000-0008-0000-0000-0000C904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24</xdr:row>
      <xdr:rowOff>200025</xdr:rowOff>
    </xdr:from>
    <xdr:to>
      <xdr:col>18</xdr:col>
      <xdr:colOff>9525</xdr:colOff>
      <xdr:row>41</xdr:row>
      <xdr:rowOff>142875</xdr:rowOff>
    </xdr:to>
    <xdr:graphicFrame macro="">
      <xdr:nvGraphicFramePr>
        <xdr:cNvPr id="23266506" name="13 Gráfico">
          <a:extLst>
            <a:ext uri="{FF2B5EF4-FFF2-40B4-BE49-F238E27FC236}">
              <a16:creationId xmlns:a16="http://schemas.microsoft.com/office/drawing/2014/main" id="{00000000-0008-0000-0000-0000CA04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152400</xdr:colOff>
      <xdr:row>42</xdr:row>
      <xdr:rowOff>180975</xdr:rowOff>
    </xdr:from>
    <xdr:to>
      <xdr:col>18</xdr:col>
      <xdr:colOff>85725</xdr:colOff>
      <xdr:row>59</xdr:row>
      <xdr:rowOff>76200</xdr:rowOff>
    </xdr:to>
    <xdr:graphicFrame macro="">
      <xdr:nvGraphicFramePr>
        <xdr:cNvPr id="23266507" name="14 Gráfico">
          <a:extLst>
            <a:ext uri="{FF2B5EF4-FFF2-40B4-BE49-F238E27FC236}">
              <a16:creationId xmlns:a16="http://schemas.microsoft.com/office/drawing/2014/main" id="{00000000-0008-0000-0000-0000CB04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161925</xdr:colOff>
      <xdr:row>60</xdr:row>
      <xdr:rowOff>57150</xdr:rowOff>
    </xdr:from>
    <xdr:to>
      <xdr:col>18</xdr:col>
      <xdr:colOff>0</xdr:colOff>
      <xdr:row>81</xdr:row>
      <xdr:rowOff>152400</xdr:rowOff>
    </xdr:to>
    <xdr:graphicFrame macro="">
      <xdr:nvGraphicFramePr>
        <xdr:cNvPr id="23266508" name="15 Gráfico">
          <a:extLst>
            <a:ext uri="{FF2B5EF4-FFF2-40B4-BE49-F238E27FC236}">
              <a16:creationId xmlns:a16="http://schemas.microsoft.com/office/drawing/2014/main" id="{00000000-0008-0000-0000-0000CC04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133350</xdr:colOff>
      <xdr:row>82</xdr:row>
      <xdr:rowOff>200025</xdr:rowOff>
    </xdr:from>
    <xdr:to>
      <xdr:col>18</xdr:col>
      <xdr:colOff>66675</xdr:colOff>
      <xdr:row>98</xdr:row>
      <xdr:rowOff>171450</xdr:rowOff>
    </xdr:to>
    <xdr:graphicFrame macro="">
      <xdr:nvGraphicFramePr>
        <xdr:cNvPr id="23266509" name="16 Gráfico">
          <a:extLst>
            <a:ext uri="{FF2B5EF4-FFF2-40B4-BE49-F238E27FC236}">
              <a16:creationId xmlns:a16="http://schemas.microsoft.com/office/drawing/2014/main" id="{00000000-0008-0000-0000-0000CD04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19050</xdr:colOff>
      <xdr:row>117</xdr:row>
      <xdr:rowOff>104775</xdr:rowOff>
    </xdr:from>
    <xdr:to>
      <xdr:col>18</xdr:col>
      <xdr:colOff>28575</xdr:colOff>
      <xdr:row>134</xdr:row>
      <xdr:rowOff>47625</xdr:rowOff>
    </xdr:to>
    <xdr:graphicFrame macro="">
      <xdr:nvGraphicFramePr>
        <xdr:cNvPr id="23266510" name="17 Gráfico">
          <a:extLst>
            <a:ext uri="{FF2B5EF4-FFF2-40B4-BE49-F238E27FC236}">
              <a16:creationId xmlns:a16="http://schemas.microsoft.com/office/drawing/2014/main" id="{00000000-0008-0000-0000-0000CE04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47625</xdr:colOff>
      <xdr:row>135</xdr:row>
      <xdr:rowOff>247650</xdr:rowOff>
    </xdr:from>
    <xdr:to>
      <xdr:col>18</xdr:col>
      <xdr:colOff>19050</xdr:colOff>
      <xdr:row>153</xdr:row>
      <xdr:rowOff>38100</xdr:rowOff>
    </xdr:to>
    <xdr:graphicFrame macro="">
      <xdr:nvGraphicFramePr>
        <xdr:cNvPr id="23266511" name="18 Gráfico">
          <a:extLst>
            <a:ext uri="{FF2B5EF4-FFF2-40B4-BE49-F238E27FC236}">
              <a16:creationId xmlns:a16="http://schemas.microsoft.com/office/drawing/2014/main" id="{00000000-0008-0000-0000-0000CF04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266700</xdr:colOff>
      <xdr:row>6</xdr:row>
      <xdr:rowOff>152400</xdr:rowOff>
    </xdr:from>
    <xdr:to>
      <xdr:col>25</xdr:col>
      <xdr:colOff>523875</xdr:colOff>
      <xdr:row>24</xdr:row>
      <xdr:rowOff>95250</xdr:rowOff>
    </xdr:to>
    <xdr:graphicFrame macro="">
      <xdr:nvGraphicFramePr>
        <xdr:cNvPr id="23266512" name="9 Gráfico">
          <a:extLst>
            <a:ext uri="{FF2B5EF4-FFF2-40B4-BE49-F238E27FC236}">
              <a16:creationId xmlns:a16="http://schemas.microsoft.com/office/drawing/2014/main" id="{00000000-0008-0000-0000-0000D004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295275</xdr:colOff>
      <xdr:row>25</xdr:row>
      <xdr:rowOff>38100</xdr:rowOff>
    </xdr:from>
    <xdr:to>
      <xdr:col>25</xdr:col>
      <xdr:colOff>581025</xdr:colOff>
      <xdr:row>41</xdr:row>
      <xdr:rowOff>247650</xdr:rowOff>
    </xdr:to>
    <xdr:graphicFrame macro="">
      <xdr:nvGraphicFramePr>
        <xdr:cNvPr id="23266513" name="13 Gráfico">
          <a:extLst>
            <a:ext uri="{FF2B5EF4-FFF2-40B4-BE49-F238E27FC236}">
              <a16:creationId xmlns:a16="http://schemas.microsoft.com/office/drawing/2014/main" id="{00000000-0008-0000-0000-0000D104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409575</xdr:colOff>
      <xdr:row>60</xdr:row>
      <xdr:rowOff>85725</xdr:rowOff>
    </xdr:from>
    <xdr:to>
      <xdr:col>25</xdr:col>
      <xdr:colOff>571500</xdr:colOff>
      <xdr:row>81</xdr:row>
      <xdr:rowOff>200025</xdr:rowOff>
    </xdr:to>
    <xdr:graphicFrame macro="">
      <xdr:nvGraphicFramePr>
        <xdr:cNvPr id="23266514" name="15 Gráfico">
          <a:extLst>
            <a:ext uri="{FF2B5EF4-FFF2-40B4-BE49-F238E27FC236}">
              <a16:creationId xmlns:a16="http://schemas.microsoft.com/office/drawing/2014/main" id="{00000000-0008-0000-0000-0000D204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476250</xdr:colOff>
      <xdr:row>82</xdr:row>
      <xdr:rowOff>238125</xdr:rowOff>
    </xdr:from>
    <xdr:to>
      <xdr:col>25</xdr:col>
      <xdr:colOff>400050</xdr:colOff>
      <xdr:row>98</xdr:row>
      <xdr:rowOff>152400</xdr:rowOff>
    </xdr:to>
    <xdr:graphicFrame macro="">
      <xdr:nvGraphicFramePr>
        <xdr:cNvPr id="23266515" name="16 Gráfico">
          <a:extLst>
            <a:ext uri="{FF2B5EF4-FFF2-40B4-BE49-F238E27FC236}">
              <a16:creationId xmlns:a16="http://schemas.microsoft.com/office/drawing/2014/main" id="{00000000-0008-0000-0000-0000D304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542925</xdr:colOff>
      <xdr:row>117</xdr:row>
      <xdr:rowOff>152400</xdr:rowOff>
    </xdr:from>
    <xdr:to>
      <xdr:col>25</xdr:col>
      <xdr:colOff>581025</xdr:colOff>
      <xdr:row>134</xdr:row>
      <xdr:rowOff>9525</xdr:rowOff>
    </xdr:to>
    <xdr:graphicFrame macro="">
      <xdr:nvGraphicFramePr>
        <xdr:cNvPr id="23266516" name="17 Gráfico">
          <a:extLst>
            <a:ext uri="{FF2B5EF4-FFF2-40B4-BE49-F238E27FC236}">
              <a16:creationId xmlns:a16="http://schemas.microsoft.com/office/drawing/2014/main" id="{00000000-0008-0000-0000-0000D404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523875</xdr:colOff>
      <xdr:row>135</xdr:row>
      <xdr:rowOff>133350</xdr:rowOff>
    </xdr:from>
    <xdr:to>
      <xdr:col>25</xdr:col>
      <xdr:colOff>628650</xdr:colOff>
      <xdr:row>153</xdr:row>
      <xdr:rowOff>171450</xdr:rowOff>
    </xdr:to>
    <xdr:graphicFrame macro="">
      <xdr:nvGraphicFramePr>
        <xdr:cNvPr id="23266517" name="18 Gráfico">
          <a:extLst>
            <a:ext uri="{FF2B5EF4-FFF2-40B4-BE49-F238E27FC236}">
              <a16:creationId xmlns:a16="http://schemas.microsoft.com/office/drawing/2014/main" id="{00000000-0008-0000-0000-0000D504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447675</xdr:colOff>
      <xdr:row>43</xdr:row>
      <xdr:rowOff>9525</xdr:rowOff>
    </xdr:from>
    <xdr:to>
      <xdr:col>25</xdr:col>
      <xdr:colOff>542925</xdr:colOff>
      <xdr:row>59</xdr:row>
      <xdr:rowOff>76200</xdr:rowOff>
    </xdr:to>
    <xdr:graphicFrame macro="">
      <xdr:nvGraphicFramePr>
        <xdr:cNvPr id="23266518" name="14 Gráfico">
          <a:extLst>
            <a:ext uri="{FF2B5EF4-FFF2-40B4-BE49-F238E27FC236}">
              <a16:creationId xmlns:a16="http://schemas.microsoft.com/office/drawing/2014/main" id="{00000000-0008-0000-0000-0000D604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161925</xdr:colOff>
      <xdr:row>99</xdr:row>
      <xdr:rowOff>76200</xdr:rowOff>
    </xdr:from>
    <xdr:to>
      <xdr:col>18</xdr:col>
      <xdr:colOff>66675</xdr:colOff>
      <xdr:row>116</xdr:row>
      <xdr:rowOff>57150</xdr:rowOff>
    </xdr:to>
    <xdr:graphicFrame macro="">
      <xdr:nvGraphicFramePr>
        <xdr:cNvPr id="23266519" name="18 Gráfico">
          <a:extLst>
            <a:ext uri="{FF2B5EF4-FFF2-40B4-BE49-F238E27FC236}">
              <a16:creationId xmlns:a16="http://schemas.microsoft.com/office/drawing/2014/main" id="{00000000-0008-0000-0000-0000D704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18</xdr:col>
      <xdr:colOff>514350</xdr:colOff>
      <xdr:row>99</xdr:row>
      <xdr:rowOff>0</xdr:rowOff>
    </xdr:from>
    <xdr:to>
      <xdr:col>25</xdr:col>
      <xdr:colOff>533400</xdr:colOff>
      <xdr:row>116</xdr:row>
      <xdr:rowOff>38100</xdr:rowOff>
    </xdr:to>
    <xdr:graphicFrame macro="">
      <xdr:nvGraphicFramePr>
        <xdr:cNvPr id="23266520" name="18 Gráfico">
          <a:extLst>
            <a:ext uri="{FF2B5EF4-FFF2-40B4-BE49-F238E27FC236}">
              <a16:creationId xmlns:a16="http://schemas.microsoft.com/office/drawing/2014/main" id="{00000000-0008-0000-0000-0000D804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0.16762</cdr:x>
      <cdr:y>0.0208</cdr:y>
    </cdr:from>
    <cdr:to>
      <cdr:x>0.82433</cdr:x>
      <cdr:y>0.09619</cdr:y>
    </cdr:to>
    <cdr:sp macro="" textlink="">
      <cdr:nvSpPr>
        <cdr:cNvPr id="2" name="2 CuadroTexto"/>
        <cdr:cNvSpPr txBox="1"/>
      </cdr:nvSpPr>
      <cdr:spPr>
        <a:xfrm xmlns:a="http://schemas.openxmlformats.org/drawingml/2006/main">
          <a:off x="1110080" y="103900"/>
          <a:ext cx="4349106" cy="376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TIEMPOS</a:t>
          </a:r>
          <a:r>
            <a:rPr lang="es-CO" sz="1400" b="1" baseline="0">
              <a:solidFill>
                <a:srgbClr val="3333CC"/>
              </a:solidFill>
            </a:rPr>
            <a:t> PERDIDOS BARRANQUILLA  MARZO - ABRIL 2011 (MIN)</a:t>
          </a:r>
          <a:endParaRPr lang="es-CO" sz="1400" b="1">
            <a:solidFill>
              <a:srgbClr val="3333CC"/>
            </a:solidFill>
          </a:endParaRPr>
        </a:p>
      </cdr:txBody>
    </cdr:sp>
  </cdr:relSizeAnchor>
  <cdr:relSizeAnchor xmlns:cdr="http://schemas.openxmlformats.org/drawingml/2006/chartDrawing">
    <cdr:from>
      <cdr:x>0.02545</cdr:x>
      <cdr:y>0.33399</cdr:y>
    </cdr:from>
    <cdr:to>
      <cdr:x>0.04732</cdr:x>
      <cdr:y>0.53264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168728" y="1626054"/>
          <a:ext cx="144975" cy="9671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wordArtVert" wrap="square" rtlCol="0" anchor="t"/>
        <a:lstStyle xmlns:a="http://schemas.openxmlformats.org/drawingml/2006/main"/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0.44299</cdr:x>
      <cdr:y>0.93162</cdr:y>
    </cdr:from>
    <cdr:to>
      <cdr:x>0.52645</cdr:x>
      <cdr:y>0.98581</cdr:y>
    </cdr:to>
    <cdr:sp macro="" textlink="">
      <cdr:nvSpPr>
        <cdr:cNvPr id="4" name="3 CuadroTexto"/>
        <cdr:cNvSpPr txBox="1"/>
      </cdr:nvSpPr>
      <cdr:spPr>
        <a:xfrm xmlns:a="http://schemas.openxmlformats.org/drawingml/2006/main">
          <a:off x="4037425" y="5198698"/>
          <a:ext cx="760637" cy="3023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0.17757</cdr:x>
      <cdr:y>0.01725</cdr:y>
    </cdr:from>
    <cdr:to>
      <cdr:x>0.76692</cdr:x>
      <cdr:y>0.09165</cdr:y>
    </cdr:to>
    <cdr:sp macro="" textlink="">
      <cdr:nvSpPr>
        <cdr:cNvPr id="2" name="2 CuadroTexto"/>
        <cdr:cNvSpPr txBox="1"/>
      </cdr:nvSpPr>
      <cdr:spPr>
        <a:xfrm xmlns:a="http://schemas.openxmlformats.org/drawingml/2006/main">
          <a:off x="1196271" y="73479"/>
          <a:ext cx="3970361" cy="3168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TIEMPOS</a:t>
          </a:r>
          <a:r>
            <a:rPr lang="es-CO" sz="1400" b="1" baseline="0">
              <a:solidFill>
                <a:srgbClr val="3333CC"/>
              </a:solidFill>
            </a:rPr>
            <a:t> PERDIDOS BELLO MARZO - ABRIL 2011 (MIN)</a:t>
          </a:r>
          <a:endParaRPr lang="es-CO" sz="1400" b="1">
            <a:solidFill>
              <a:srgbClr val="3333CC"/>
            </a:solidFill>
          </a:endParaRPr>
        </a:p>
      </cdr:txBody>
    </cdr:sp>
  </cdr:relSizeAnchor>
  <cdr:relSizeAnchor xmlns:cdr="http://schemas.openxmlformats.org/drawingml/2006/chartDrawing">
    <cdr:from>
      <cdr:x>0.00591</cdr:x>
      <cdr:y>0.44153</cdr:y>
    </cdr:from>
    <cdr:to>
      <cdr:x>0.04215</cdr:x>
      <cdr:y>0.72104</cdr:y>
    </cdr:to>
    <cdr:sp macro="" textlink="">
      <cdr:nvSpPr>
        <cdr:cNvPr id="3" name="1 CuadroTexto"/>
        <cdr:cNvSpPr txBox="1"/>
      </cdr:nvSpPr>
      <cdr:spPr>
        <a:xfrm xmlns:a="http://schemas.openxmlformats.org/drawingml/2006/main">
          <a:off x="39879" y="1841440"/>
          <a:ext cx="244510" cy="11657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0.44485</cdr:x>
      <cdr:y>0.94749</cdr:y>
    </cdr:from>
    <cdr:to>
      <cdr:x>0.52761</cdr:x>
      <cdr:y>1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4095750" y="5402036"/>
          <a:ext cx="762000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0.17979</cdr:x>
      <cdr:y>0.03908</cdr:y>
    </cdr:from>
    <cdr:to>
      <cdr:x>0.81009</cdr:x>
      <cdr:y>0.11282</cdr:y>
    </cdr:to>
    <cdr:sp macro="" textlink="">
      <cdr:nvSpPr>
        <cdr:cNvPr id="2" name="2 CuadroTexto"/>
        <cdr:cNvSpPr txBox="1"/>
      </cdr:nvSpPr>
      <cdr:spPr>
        <a:xfrm xmlns:a="http://schemas.openxmlformats.org/drawingml/2006/main">
          <a:off x="1522568" y="200315"/>
          <a:ext cx="5337753" cy="3780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TIEMPOS</a:t>
          </a:r>
          <a:r>
            <a:rPr lang="es-CO" sz="1400" b="1" baseline="0">
              <a:solidFill>
                <a:srgbClr val="3333CC"/>
              </a:solidFill>
            </a:rPr>
            <a:t> PERDIDOS BLOMAX 8-1  MARZO - ABRIL 2011 (MIN)</a:t>
          </a:r>
          <a:endParaRPr lang="es-CO" sz="1400" b="1">
            <a:solidFill>
              <a:srgbClr val="3333CC"/>
            </a:solidFill>
          </a:endParaRPr>
        </a:p>
      </cdr:txBody>
    </cdr:sp>
  </cdr:relSizeAnchor>
  <cdr:relSizeAnchor xmlns:cdr="http://schemas.openxmlformats.org/drawingml/2006/chartDrawing">
    <cdr:from>
      <cdr:x>0.01783</cdr:x>
      <cdr:y>0.50361</cdr:y>
    </cdr:from>
    <cdr:to>
      <cdr:x>0.05201</cdr:x>
      <cdr:y>0.68795</cdr:y>
    </cdr:to>
    <cdr:sp macro="" textlink="">
      <cdr:nvSpPr>
        <cdr:cNvPr id="3" name="1 CuadroTexto"/>
        <cdr:cNvSpPr txBox="1"/>
      </cdr:nvSpPr>
      <cdr:spPr>
        <a:xfrm xmlns:a="http://schemas.openxmlformats.org/drawingml/2006/main">
          <a:off x="163286" y="2843893"/>
          <a:ext cx="312964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0.45617</cdr:x>
      <cdr:y>0.94699</cdr:y>
    </cdr:from>
    <cdr:to>
      <cdr:x>0.53938</cdr:x>
      <cdr:y>1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4177393" y="5388428"/>
          <a:ext cx="762000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  <cdr:relSizeAnchor xmlns:cdr="http://schemas.openxmlformats.org/drawingml/2006/chartDrawing">
    <cdr:from>
      <cdr:x>0.01783</cdr:x>
      <cdr:y>0.50361</cdr:y>
    </cdr:from>
    <cdr:to>
      <cdr:x>0.05201</cdr:x>
      <cdr:y>0.68795</cdr:y>
    </cdr:to>
    <cdr:sp macro="" textlink="">
      <cdr:nvSpPr>
        <cdr:cNvPr id="6" name="1 CuadroTexto"/>
        <cdr:cNvSpPr txBox="1"/>
      </cdr:nvSpPr>
      <cdr:spPr>
        <a:xfrm xmlns:a="http://schemas.openxmlformats.org/drawingml/2006/main">
          <a:off x="163286" y="2843893"/>
          <a:ext cx="312964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0.45617</cdr:x>
      <cdr:y>0.94699</cdr:y>
    </cdr:from>
    <cdr:to>
      <cdr:x>0.53938</cdr:x>
      <cdr:y>1</cdr:y>
    </cdr:to>
    <cdr:sp macro="" textlink="">
      <cdr:nvSpPr>
        <cdr:cNvPr id="7" name="1 CuadroTexto"/>
        <cdr:cNvSpPr txBox="1"/>
      </cdr:nvSpPr>
      <cdr:spPr>
        <a:xfrm xmlns:a="http://schemas.openxmlformats.org/drawingml/2006/main">
          <a:off x="4177393" y="5388428"/>
          <a:ext cx="762000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0.00597</cdr:x>
      <cdr:y>0.36176</cdr:y>
    </cdr:from>
    <cdr:to>
      <cdr:x>0.0403</cdr:x>
      <cdr:y>0.55943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54428" y="1905000"/>
          <a:ext cx="312964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0.43582</cdr:x>
      <cdr:y>0.93023</cdr:y>
    </cdr:from>
    <cdr:to>
      <cdr:x>0.5194</cdr:x>
      <cdr:y>0.98708</cdr:y>
    </cdr:to>
    <cdr:sp macro="" textlink="">
      <cdr:nvSpPr>
        <cdr:cNvPr id="3" name="1 CuadroTexto"/>
        <cdr:cNvSpPr txBox="1"/>
      </cdr:nvSpPr>
      <cdr:spPr>
        <a:xfrm xmlns:a="http://schemas.openxmlformats.org/drawingml/2006/main">
          <a:off x="3973285" y="4898570"/>
          <a:ext cx="762000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  <cdr:relSizeAnchor xmlns:cdr="http://schemas.openxmlformats.org/drawingml/2006/chartDrawing">
    <cdr:from>
      <cdr:x>0.18209</cdr:x>
      <cdr:y>0.0155</cdr:y>
    </cdr:from>
    <cdr:to>
      <cdr:x>0.81521</cdr:x>
      <cdr:y>0.09458</cdr:y>
    </cdr:to>
    <cdr:sp macro="" textlink="">
      <cdr:nvSpPr>
        <cdr:cNvPr id="4" name="2 CuadroTexto"/>
        <cdr:cNvSpPr txBox="1"/>
      </cdr:nvSpPr>
      <cdr:spPr>
        <a:xfrm xmlns:a="http://schemas.openxmlformats.org/drawingml/2006/main">
          <a:off x="1660072" y="81643"/>
          <a:ext cx="5772064" cy="4164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TIEMPOS</a:t>
          </a:r>
          <a:r>
            <a:rPr lang="es-CO" sz="1400" b="1" baseline="0">
              <a:solidFill>
                <a:srgbClr val="3333CC"/>
              </a:solidFill>
            </a:rPr>
            <a:t> PERDIDOS BLOMAX 8-3 MARZO - ABRIL 2011 (MIN)</a:t>
          </a:r>
          <a:endParaRPr lang="es-CO" sz="1400" b="1">
            <a:solidFill>
              <a:srgbClr val="3333CC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0.00169</cdr:x>
      <cdr:y>0.375</cdr:y>
    </cdr:from>
    <cdr:to>
      <cdr:x>0.04054</cdr:x>
      <cdr:y>0.57015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3607" y="2000250"/>
          <a:ext cx="312964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0.19554</cdr:x>
      <cdr:y>0.01786</cdr:y>
    </cdr:from>
    <cdr:to>
      <cdr:x>0.81827</cdr:x>
      <cdr:y>0.09569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1330208" y="77257"/>
          <a:ext cx="4239195" cy="3366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TIEMPOS</a:t>
          </a:r>
          <a:r>
            <a:rPr lang="es-CO" sz="1400" b="1" baseline="0">
              <a:solidFill>
                <a:srgbClr val="3333CC"/>
              </a:solidFill>
            </a:rPr>
            <a:t> PERDIDOS BLOMAX 14 MARZO - ABRIL 2011 (MIN)</a:t>
          </a:r>
          <a:endParaRPr lang="es-CO" sz="1400" b="1">
            <a:solidFill>
              <a:srgbClr val="3333CC"/>
            </a:solidFill>
          </a:endParaRPr>
        </a:p>
      </cdr:txBody>
    </cdr:sp>
  </cdr:relSizeAnchor>
  <cdr:relSizeAnchor xmlns:cdr="http://schemas.openxmlformats.org/drawingml/2006/chartDrawing">
    <cdr:from>
      <cdr:x>0.44764</cdr:x>
      <cdr:y>0.94388</cdr:y>
    </cdr:from>
    <cdr:to>
      <cdr:x>0.54223</cdr:x>
      <cdr:y>1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3605893" y="5034642"/>
          <a:ext cx="762000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0.00149</cdr:x>
      <cdr:y>0.29006</cdr:y>
    </cdr:from>
    <cdr:to>
      <cdr:x>0.04017</cdr:x>
      <cdr:y>0.50138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3607" y="1428750"/>
          <a:ext cx="353670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0.43304</cdr:x>
      <cdr:y>0.92265</cdr:y>
    </cdr:from>
    <cdr:to>
      <cdr:x>0.52721</cdr:x>
      <cdr:y>0.98343</cdr:y>
    </cdr:to>
    <cdr:sp macro="" textlink="">
      <cdr:nvSpPr>
        <cdr:cNvPr id="3" name="1 CuadroTexto"/>
        <cdr:cNvSpPr txBox="1"/>
      </cdr:nvSpPr>
      <cdr:spPr>
        <a:xfrm xmlns:a="http://schemas.openxmlformats.org/drawingml/2006/main">
          <a:off x="3959678" y="4544785"/>
          <a:ext cx="861111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  <cdr:relSizeAnchor xmlns:cdr="http://schemas.openxmlformats.org/drawingml/2006/chartDrawing">
    <cdr:from>
      <cdr:x>0.12202</cdr:x>
      <cdr:y>0.00552</cdr:y>
    </cdr:from>
    <cdr:to>
      <cdr:x>0.83537</cdr:x>
      <cdr:y>0.09006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1115786" y="27214"/>
          <a:ext cx="6522823" cy="4164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TIEMPOS</a:t>
          </a:r>
          <a:r>
            <a:rPr lang="es-CO" sz="1400" b="1" baseline="0">
              <a:solidFill>
                <a:srgbClr val="3333CC"/>
              </a:solidFill>
            </a:rPr>
            <a:t> PERDIDOS HOT FILL MARZO - ABRIL 2011 (MIN)</a:t>
          </a:r>
          <a:endParaRPr lang="es-CO" sz="1400" b="1">
            <a:solidFill>
              <a:srgbClr val="3333CC"/>
            </a:solidFill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0.003</cdr:x>
      <cdr:y>0.37864</cdr:y>
    </cdr:from>
    <cdr:to>
      <cdr:x>0.04197</cdr:x>
      <cdr:y>0.56432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7214" y="2122714"/>
          <a:ext cx="353670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0.003</cdr:x>
      <cdr:y>0.37864</cdr:y>
    </cdr:from>
    <cdr:to>
      <cdr:x>0.04197</cdr:x>
      <cdr:y>0.56432</cdr:y>
    </cdr:to>
    <cdr:sp macro="" textlink="">
      <cdr:nvSpPr>
        <cdr:cNvPr id="3" name="1 CuadroTexto"/>
        <cdr:cNvSpPr txBox="1"/>
      </cdr:nvSpPr>
      <cdr:spPr>
        <a:xfrm xmlns:a="http://schemas.openxmlformats.org/drawingml/2006/main">
          <a:off x="27214" y="2122714"/>
          <a:ext cx="353670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0.44378</cdr:x>
      <cdr:y>0.93689</cdr:y>
    </cdr:from>
    <cdr:to>
      <cdr:x>0.53866</cdr:x>
      <cdr:y>0.99029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4027714" y="5252358"/>
          <a:ext cx="861111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  <cdr:relSizeAnchor xmlns:cdr="http://schemas.openxmlformats.org/drawingml/2006/chartDrawing">
    <cdr:from>
      <cdr:x>0.15337</cdr:x>
      <cdr:y>0.0117</cdr:y>
    </cdr:from>
    <cdr:to>
      <cdr:x>0.79387</cdr:x>
      <cdr:y>0.07996</cdr:y>
    </cdr:to>
    <cdr:sp macro="" textlink="">
      <cdr:nvSpPr>
        <cdr:cNvPr id="5" name="1 CuadroTexto"/>
        <cdr:cNvSpPr txBox="1"/>
      </cdr:nvSpPr>
      <cdr:spPr>
        <a:xfrm xmlns:a="http://schemas.openxmlformats.org/drawingml/2006/main">
          <a:off x="1047856" y="48985"/>
          <a:ext cx="4375951" cy="2857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TIEMPOS</a:t>
          </a:r>
          <a:r>
            <a:rPr lang="es-CO" sz="1400" b="1" baseline="0">
              <a:solidFill>
                <a:srgbClr val="3333CC"/>
              </a:solidFill>
            </a:rPr>
            <a:t> PERDIDOS BLOMAX 20 MARZO - ABRIL 2011 (MIN)</a:t>
          </a:r>
          <a:endParaRPr lang="es-CO" sz="1400" b="1">
            <a:solidFill>
              <a:srgbClr val="3333CC"/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0.16762</cdr:x>
      <cdr:y>0.0208</cdr:y>
    </cdr:from>
    <cdr:to>
      <cdr:x>0.79951</cdr:x>
      <cdr:y>0.09619</cdr:y>
    </cdr:to>
    <cdr:sp macro="" textlink="">
      <cdr:nvSpPr>
        <cdr:cNvPr id="2" name="2 CuadroTexto"/>
        <cdr:cNvSpPr txBox="1"/>
      </cdr:nvSpPr>
      <cdr:spPr>
        <a:xfrm xmlns:a="http://schemas.openxmlformats.org/drawingml/2006/main">
          <a:off x="1540786" y="116564"/>
          <a:ext cx="5808513" cy="4224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TIEMPOS</a:t>
          </a:r>
          <a:r>
            <a:rPr lang="es-CO" sz="1400" b="1" baseline="0">
              <a:solidFill>
                <a:srgbClr val="3333CC"/>
              </a:solidFill>
            </a:rPr>
            <a:t> PERDIDOS BARRANQUILLA ABRIL 2011</a:t>
          </a:r>
          <a:endParaRPr lang="es-CO" sz="1400" b="1">
            <a:solidFill>
              <a:srgbClr val="3333CC"/>
            </a:solidFill>
          </a:endParaRPr>
        </a:p>
      </cdr:txBody>
    </cdr:sp>
  </cdr:relSizeAnchor>
  <cdr:relSizeAnchor xmlns:cdr="http://schemas.openxmlformats.org/drawingml/2006/chartDrawing">
    <cdr:from>
      <cdr:x>0.01304</cdr:x>
      <cdr:y>0.34421</cdr:y>
    </cdr:from>
    <cdr:to>
      <cdr:x>0.04732</cdr:x>
      <cdr:y>0.53264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119064" y="1901598"/>
          <a:ext cx="312964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wordArtVert" wrap="square" rtlCol="0" anchor="t"/>
        <a:lstStyle xmlns:a="http://schemas.openxmlformats.org/drawingml/2006/main"/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0.44299</cdr:x>
      <cdr:y>0.93162</cdr:y>
    </cdr:from>
    <cdr:to>
      <cdr:x>0.52645</cdr:x>
      <cdr:y>0.98581</cdr:y>
    </cdr:to>
    <cdr:sp macro="" textlink="">
      <cdr:nvSpPr>
        <cdr:cNvPr id="4" name="3 CuadroTexto"/>
        <cdr:cNvSpPr txBox="1"/>
      </cdr:nvSpPr>
      <cdr:spPr>
        <a:xfrm xmlns:a="http://schemas.openxmlformats.org/drawingml/2006/main">
          <a:off x="4037425" y="5198698"/>
          <a:ext cx="760637" cy="3023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0.17846</cdr:x>
      <cdr:y>0.01885</cdr:y>
    </cdr:from>
    <cdr:to>
      <cdr:x>0.80538</cdr:x>
      <cdr:y>0.09336</cdr:y>
    </cdr:to>
    <cdr:sp macro="" textlink="">
      <cdr:nvSpPr>
        <cdr:cNvPr id="2" name="2 CuadroTexto"/>
        <cdr:cNvSpPr txBox="1"/>
      </cdr:nvSpPr>
      <cdr:spPr>
        <a:xfrm xmlns:a="http://schemas.openxmlformats.org/drawingml/2006/main">
          <a:off x="1654999" y="100961"/>
          <a:ext cx="5813820" cy="39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TIEMPOS</a:t>
          </a:r>
          <a:r>
            <a:rPr lang="es-CO" sz="1400" b="1" baseline="0">
              <a:solidFill>
                <a:srgbClr val="3333CC"/>
              </a:solidFill>
            </a:rPr>
            <a:t> PERDIDOS BELLO ABRIL 2011</a:t>
          </a:r>
          <a:endParaRPr lang="es-CO" sz="1400" b="1">
            <a:solidFill>
              <a:srgbClr val="3333CC"/>
            </a:solidFill>
          </a:endParaRPr>
        </a:p>
      </cdr:txBody>
    </cdr:sp>
  </cdr:relSizeAnchor>
  <cdr:relSizeAnchor xmlns:cdr="http://schemas.openxmlformats.org/drawingml/2006/chartDrawing">
    <cdr:from>
      <cdr:x>0.00591</cdr:x>
      <cdr:y>0.44275</cdr:y>
    </cdr:from>
    <cdr:to>
      <cdr:x>0.0399</cdr:x>
      <cdr:y>0.62484</cdr:y>
    </cdr:to>
    <cdr:sp macro="" textlink="">
      <cdr:nvSpPr>
        <cdr:cNvPr id="3" name="1 CuadroTexto"/>
        <cdr:cNvSpPr txBox="1"/>
      </cdr:nvSpPr>
      <cdr:spPr>
        <a:xfrm xmlns:a="http://schemas.openxmlformats.org/drawingml/2006/main">
          <a:off x="54428" y="2517321"/>
          <a:ext cx="312964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0.44485</cdr:x>
      <cdr:y>0.94749</cdr:y>
    </cdr:from>
    <cdr:to>
      <cdr:x>0.52761</cdr:x>
      <cdr:y>1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4095750" y="5402036"/>
          <a:ext cx="762000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0.00597</cdr:x>
      <cdr:y>0.36176</cdr:y>
    </cdr:from>
    <cdr:to>
      <cdr:x>0.0566</cdr:x>
      <cdr:y>0.77715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39902" y="1391595"/>
          <a:ext cx="338377" cy="1597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0.43582</cdr:x>
      <cdr:y>0.93023</cdr:y>
    </cdr:from>
    <cdr:to>
      <cdr:x>0.5194</cdr:x>
      <cdr:y>0.98708</cdr:y>
    </cdr:to>
    <cdr:sp macro="" textlink="">
      <cdr:nvSpPr>
        <cdr:cNvPr id="3" name="1 CuadroTexto"/>
        <cdr:cNvSpPr txBox="1"/>
      </cdr:nvSpPr>
      <cdr:spPr>
        <a:xfrm xmlns:a="http://schemas.openxmlformats.org/drawingml/2006/main">
          <a:off x="3973285" y="4898570"/>
          <a:ext cx="762000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  <cdr:relSizeAnchor xmlns:cdr="http://schemas.openxmlformats.org/drawingml/2006/chartDrawing">
    <cdr:from>
      <cdr:x>0.18209</cdr:x>
      <cdr:y>0.02342</cdr:y>
    </cdr:from>
    <cdr:to>
      <cdr:x>0.81521</cdr:x>
      <cdr:y>0.1025</cdr:y>
    </cdr:to>
    <cdr:sp macro="" textlink="">
      <cdr:nvSpPr>
        <cdr:cNvPr id="4" name="2 CuadroTexto"/>
        <cdr:cNvSpPr txBox="1"/>
      </cdr:nvSpPr>
      <cdr:spPr>
        <a:xfrm xmlns:a="http://schemas.openxmlformats.org/drawingml/2006/main">
          <a:off x="1669103" y="122427"/>
          <a:ext cx="5803408" cy="413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TIEMPOS</a:t>
          </a:r>
          <a:r>
            <a:rPr lang="es-CO" sz="1400" b="1" baseline="0">
              <a:solidFill>
                <a:srgbClr val="3333CC"/>
              </a:solidFill>
            </a:rPr>
            <a:t> PERDIDOS BLOMAX 8-3 ABRIL 2011</a:t>
          </a:r>
          <a:endParaRPr lang="es-CO" sz="1400" b="1">
            <a:solidFill>
              <a:srgbClr val="3333CC"/>
            </a:solidFill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0.00169</cdr:x>
      <cdr:y>0.37646</cdr:y>
    </cdr:from>
    <cdr:to>
      <cdr:x>0.04054</cdr:x>
      <cdr:y>0.57113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3607" y="2000250"/>
          <a:ext cx="312964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0.12018</cdr:x>
      <cdr:y>0.0181</cdr:y>
    </cdr:from>
    <cdr:to>
      <cdr:x>0.83648</cdr:x>
      <cdr:y>0.09764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966107" y="95250"/>
          <a:ext cx="5772064" cy="4164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TIEMPOS</a:t>
          </a:r>
          <a:r>
            <a:rPr lang="es-CO" sz="1400" b="1" baseline="0">
              <a:solidFill>
                <a:srgbClr val="3333CC"/>
              </a:solidFill>
            </a:rPr>
            <a:t> PERDIDOS BLOMAX 14 ABRIL 2011</a:t>
          </a:r>
          <a:endParaRPr lang="es-CO" sz="1400" b="1">
            <a:solidFill>
              <a:srgbClr val="3333CC"/>
            </a:solidFill>
          </a:endParaRPr>
        </a:p>
      </cdr:txBody>
    </cdr:sp>
  </cdr:relSizeAnchor>
  <cdr:relSizeAnchor xmlns:cdr="http://schemas.openxmlformats.org/drawingml/2006/chartDrawing">
    <cdr:from>
      <cdr:x>0.44764</cdr:x>
      <cdr:y>0.94388</cdr:y>
    </cdr:from>
    <cdr:to>
      <cdr:x>0.54223</cdr:x>
      <cdr:y>1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3605893" y="5034642"/>
          <a:ext cx="762000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0.00149</cdr:x>
      <cdr:y>0.29006</cdr:y>
    </cdr:from>
    <cdr:to>
      <cdr:x>0.04017</cdr:x>
      <cdr:y>0.50138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3607" y="1428750"/>
          <a:ext cx="353670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0.43427</cdr:x>
      <cdr:y>0.92289</cdr:y>
    </cdr:from>
    <cdr:to>
      <cdr:x>0.52795</cdr:x>
      <cdr:y>0.98343</cdr:y>
    </cdr:to>
    <cdr:sp macro="" textlink="">
      <cdr:nvSpPr>
        <cdr:cNvPr id="3" name="1 CuadroTexto"/>
        <cdr:cNvSpPr txBox="1"/>
      </cdr:nvSpPr>
      <cdr:spPr>
        <a:xfrm xmlns:a="http://schemas.openxmlformats.org/drawingml/2006/main">
          <a:off x="3959678" y="4544785"/>
          <a:ext cx="861111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  <cdr:relSizeAnchor xmlns:cdr="http://schemas.openxmlformats.org/drawingml/2006/chartDrawing">
    <cdr:from>
      <cdr:x>0.128</cdr:x>
      <cdr:y>0.0072</cdr:y>
    </cdr:from>
    <cdr:to>
      <cdr:x>0.84061</cdr:x>
      <cdr:y>0.09174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1163379" y="35466"/>
          <a:ext cx="6559209" cy="416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TIEMPOS</a:t>
          </a:r>
          <a:r>
            <a:rPr lang="es-CO" sz="1400" b="1" baseline="0">
              <a:solidFill>
                <a:srgbClr val="3333CC"/>
              </a:solidFill>
            </a:rPr>
            <a:t> PERDIDOS HOT FILL ABRIL 2011</a:t>
          </a:r>
          <a:endParaRPr lang="es-CO" sz="1400" b="1">
            <a:solidFill>
              <a:srgbClr val="3333CC"/>
            </a:solidFill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0.003</cdr:x>
      <cdr:y>0.37864</cdr:y>
    </cdr:from>
    <cdr:to>
      <cdr:x>0.04197</cdr:x>
      <cdr:y>0.56432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7214" y="2122714"/>
          <a:ext cx="353670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0.003</cdr:x>
      <cdr:y>0.37864</cdr:y>
    </cdr:from>
    <cdr:to>
      <cdr:x>0.04197</cdr:x>
      <cdr:y>0.56432</cdr:y>
    </cdr:to>
    <cdr:sp macro="" textlink="">
      <cdr:nvSpPr>
        <cdr:cNvPr id="3" name="1 CuadroTexto"/>
        <cdr:cNvSpPr txBox="1"/>
      </cdr:nvSpPr>
      <cdr:spPr>
        <a:xfrm xmlns:a="http://schemas.openxmlformats.org/drawingml/2006/main">
          <a:off x="27214" y="2122714"/>
          <a:ext cx="353670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0.44378</cdr:x>
      <cdr:y>0.93689</cdr:y>
    </cdr:from>
    <cdr:to>
      <cdr:x>0.53866</cdr:x>
      <cdr:y>0.99029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4027714" y="5252358"/>
          <a:ext cx="861111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  <cdr:relSizeAnchor xmlns:cdr="http://schemas.openxmlformats.org/drawingml/2006/chartDrawing">
    <cdr:from>
      <cdr:x>0.13943</cdr:x>
      <cdr:y>0.00834</cdr:y>
    </cdr:from>
    <cdr:to>
      <cdr:x>0.85812</cdr:x>
      <cdr:y>0.08262</cdr:y>
    </cdr:to>
    <cdr:sp macro="" textlink="">
      <cdr:nvSpPr>
        <cdr:cNvPr id="5" name="1 CuadroTexto"/>
        <cdr:cNvSpPr txBox="1"/>
      </cdr:nvSpPr>
      <cdr:spPr>
        <a:xfrm xmlns:a="http://schemas.openxmlformats.org/drawingml/2006/main">
          <a:off x="1271426" y="46763"/>
          <a:ext cx="6553545" cy="4167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TIEMPOS</a:t>
          </a:r>
          <a:r>
            <a:rPr lang="es-CO" sz="1400" b="1" baseline="0">
              <a:solidFill>
                <a:srgbClr val="3333CC"/>
              </a:solidFill>
            </a:rPr>
            <a:t> PERDIDOS BLOMAX 20 ABRIL 2011</a:t>
          </a:r>
          <a:endParaRPr lang="es-CO" sz="1400" b="1">
            <a:solidFill>
              <a:srgbClr val="3333CC"/>
            </a:solidFill>
          </a:endParaRPr>
        </a:p>
      </cdr:txBody>
    </cdr:sp>
  </cdr:relSizeAnchor>
  <cdr:relSizeAnchor xmlns:cdr="http://schemas.openxmlformats.org/drawingml/2006/chartDrawing">
    <cdr:from>
      <cdr:x>0.003</cdr:x>
      <cdr:y>0.37864</cdr:y>
    </cdr:from>
    <cdr:to>
      <cdr:x>0.04197</cdr:x>
      <cdr:y>0.56432</cdr:y>
    </cdr:to>
    <cdr:sp macro="" textlink="">
      <cdr:nvSpPr>
        <cdr:cNvPr id="6" name="1 CuadroTexto"/>
        <cdr:cNvSpPr txBox="1"/>
      </cdr:nvSpPr>
      <cdr:spPr>
        <a:xfrm xmlns:a="http://schemas.openxmlformats.org/drawingml/2006/main">
          <a:off x="27214" y="2122714"/>
          <a:ext cx="353670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0.003</cdr:x>
      <cdr:y>0.37864</cdr:y>
    </cdr:from>
    <cdr:to>
      <cdr:x>0.04197</cdr:x>
      <cdr:y>0.56432</cdr:y>
    </cdr:to>
    <cdr:sp macro="" textlink="">
      <cdr:nvSpPr>
        <cdr:cNvPr id="7" name="1 CuadroTexto"/>
        <cdr:cNvSpPr txBox="1"/>
      </cdr:nvSpPr>
      <cdr:spPr>
        <a:xfrm xmlns:a="http://schemas.openxmlformats.org/drawingml/2006/main">
          <a:off x="27214" y="2122714"/>
          <a:ext cx="353670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0.44378</cdr:x>
      <cdr:y>0.93689</cdr:y>
    </cdr:from>
    <cdr:to>
      <cdr:x>0.53866</cdr:x>
      <cdr:y>0.99029</cdr:y>
    </cdr:to>
    <cdr:sp macro="" textlink="">
      <cdr:nvSpPr>
        <cdr:cNvPr id="8" name="1 CuadroTexto"/>
        <cdr:cNvSpPr txBox="1"/>
      </cdr:nvSpPr>
      <cdr:spPr>
        <a:xfrm xmlns:a="http://schemas.openxmlformats.org/drawingml/2006/main">
          <a:off x="4027714" y="5252358"/>
          <a:ext cx="861111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  <cdr:relSizeAnchor xmlns:cdr="http://schemas.openxmlformats.org/drawingml/2006/chartDrawing">
    <cdr:from>
      <cdr:x>0.13943</cdr:x>
      <cdr:y>0.00834</cdr:y>
    </cdr:from>
    <cdr:to>
      <cdr:x>0.85812</cdr:x>
      <cdr:y>0.08262</cdr:y>
    </cdr:to>
    <cdr:sp macro="" textlink="">
      <cdr:nvSpPr>
        <cdr:cNvPr id="9" name="1 CuadroTexto"/>
        <cdr:cNvSpPr txBox="1"/>
      </cdr:nvSpPr>
      <cdr:spPr>
        <a:xfrm xmlns:a="http://schemas.openxmlformats.org/drawingml/2006/main">
          <a:off x="1271426" y="46763"/>
          <a:ext cx="6553545" cy="4167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/>
        <a:p xmlns:a="http://schemas.openxmlformats.org/drawingml/2006/main">
          <a:endParaRPr lang="es-CO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0.16737</cdr:x>
      <cdr:y>0.03449</cdr:y>
    </cdr:from>
    <cdr:to>
      <cdr:x>0.79767</cdr:x>
      <cdr:y>0.10823</cdr:y>
    </cdr:to>
    <cdr:sp macro="" textlink="">
      <cdr:nvSpPr>
        <cdr:cNvPr id="2" name="2 CuadroTexto"/>
        <cdr:cNvSpPr txBox="1"/>
      </cdr:nvSpPr>
      <cdr:spPr>
        <a:xfrm xmlns:a="http://schemas.openxmlformats.org/drawingml/2006/main">
          <a:off x="1540286" y="190312"/>
          <a:ext cx="5800577" cy="406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TIEMPOS</a:t>
          </a:r>
          <a:r>
            <a:rPr lang="es-CO" sz="1400" b="1" baseline="0">
              <a:solidFill>
                <a:srgbClr val="3333CC"/>
              </a:solidFill>
            </a:rPr>
            <a:t> PERDIDOS BLOMAX 8-1 ABRIL 2011</a:t>
          </a:r>
          <a:endParaRPr lang="es-CO" sz="1400" b="1">
            <a:solidFill>
              <a:srgbClr val="3333CC"/>
            </a:solidFill>
          </a:endParaRPr>
        </a:p>
      </cdr:txBody>
    </cdr:sp>
  </cdr:relSizeAnchor>
  <cdr:relSizeAnchor xmlns:cdr="http://schemas.openxmlformats.org/drawingml/2006/chartDrawing">
    <cdr:from>
      <cdr:x>0.01783</cdr:x>
      <cdr:y>0.50361</cdr:y>
    </cdr:from>
    <cdr:to>
      <cdr:x>0.05201</cdr:x>
      <cdr:y>0.68795</cdr:y>
    </cdr:to>
    <cdr:sp macro="" textlink="">
      <cdr:nvSpPr>
        <cdr:cNvPr id="3" name="1 CuadroTexto"/>
        <cdr:cNvSpPr txBox="1"/>
      </cdr:nvSpPr>
      <cdr:spPr>
        <a:xfrm xmlns:a="http://schemas.openxmlformats.org/drawingml/2006/main">
          <a:off x="163286" y="2843893"/>
          <a:ext cx="312964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0.45617</cdr:x>
      <cdr:y>0.94699</cdr:y>
    </cdr:from>
    <cdr:to>
      <cdr:x>0.53938</cdr:x>
      <cdr:y>1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4177393" y="5388428"/>
          <a:ext cx="762000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  <cdr:relSizeAnchor xmlns:cdr="http://schemas.openxmlformats.org/drawingml/2006/chartDrawing">
    <cdr:from>
      <cdr:x>0.01783</cdr:x>
      <cdr:y>0.50361</cdr:y>
    </cdr:from>
    <cdr:to>
      <cdr:x>0.05201</cdr:x>
      <cdr:y>0.68795</cdr:y>
    </cdr:to>
    <cdr:sp macro="" textlink="">
      <cdr:nvSpPr>
        <cdr:cNvPr id="6" name="1 CuadroTexto"/>
        <cdr:cNvSpPr txBox="1"/>
      </cdr:nvSpPr>
      <cdr:spPr>
        <a:xfrm xmlns:a="http://schemas.openxmlformats.org/drawingml/2006/main">
          <a:off x="163286" y="2843893"/>
          <a:ext cx="312964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0.45617</cdr:x>
      <cdr:y>0.94699</cdr:y>
    </cdr:from>
    <cdr:to>
      <cdr:x>0.53938</cdr:x>
      <cdr:y>1</cdr:y>
    </cdr:to>
    <cdr:sp macro="" textlink="">
      <cdr:nvSpPr>
        <cdr:cNvPr id="7" name="1 CuadroTexto"/>
        <cdr:cNvSpPr txBox="1"/>
      </cdr:nvSpPr>
      <cdr:spPr>
        <a:xfrm xmlns:a="http://schemas.openxmlformats.org/drawingml/2006/main">
          <a:off x="4177393" y="5388428"/>
          <a:ext cx="762000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0.003</cdr:x>
      <cdr:y>0.37864</cdr:y>
    </cdr:from>
    <cdr:to>
      <cdr:x>0.04197</cdr:x>
      <cdr:y>0.56432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7214" y="2122714"/>
          <a:ext cx="353670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0.003</cdr:x>
      <cdr:y>0.37864</cdr:y>
    </cdr:from>
    <cdr:to>
      <cdr:x>0.04197</cdr:x>
      <cdr:y>0.56432</cdr:y>
    </cdr:to>
    <cdr:sp macro="" textlink="">
      <cdr:nvSpPr>
        <cdr:cNvPr id="3" name="1 CuadroTexto"/>
        <cdr:cNvSpPr txBox="1"/>
      </cdr:nvSpPr>
      <cdr:spPr>
        <a:xfrm xmlns:a="http://schemas.openxmlformats.org/drawingml/2006/main">
          <a:off x="27214" y="2122714"/>
          <a:ext cx="353670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0.44378</cdr:x>
      <cdr:y>0.93689</cdr:y>
    </cdr:from>
    <cdr:to>
      <cdr:x>0.53866</cdr:x>
      <cdr:y>0.99029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4027714" y="5252358"/>
          <a:ext cx="861111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  <cdr:relSizeAnchor xmlns:cdr="http://schemas.openxmlformats.org/drawingml/2006/chartDrawing">
    <cdr:from>
      <cdr:x>0.09091</cdr:x>
      <cdr:y>0.00243</cdr:y>
    </cdr:from>
    <cdr:to>
      <cdr:x>0.9115</cdr:x>
      <cdr:y>0.09076</cdr:y>
    </cdr:to>
    <cdr:sp macro="" textlink="">
      <cdr:nvSpPr>
        <cdr:cNvPr id="5" name="1 CuadroTexto"/>
        <cdr:cNvSpPr txBox="1"/>
      </cdr:nvSpPr>
      <cdr:spPr>
        <a:xfrm xmlns:a="http://schemas.openxmlformats.org/drawingml/2006/main">
          <a:off x="615044" y="10419"/>
          <a:ext cx="5551714" cy="3787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TIEMPOS</a:t>
          </a:r>
          <a:r>
            <a:rPr lang="es-CO" sz="1400" b="1" baseline="0">
              <a:solidFill>
                <a:srgbClr val="3333CC"/>
              </a:solidFill>
            </a:rPr>
            <a:t> PERDIDOS SOPLADORA KRONESS GASLUX MARZO -ABRIL 2011 (MIN)</a:t>
          </a:r>
          <a:endParaRPr lang="es-CO" sz="1400" b="1">
            <a:solidFill>
              <a:srgbClr val="3333CC"/>
            </a:solidFill>
          </a:endParaRP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0.003</cdr:x>
      <cdr:y>0.37864</cdr:y>
    </cdr:from>
    <cdr:to>
      <cdr:x>0.04197</cdr:x>
      <cdr:y>0.56432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7214" y="2122714"/>
          <a:ext cx="353670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0.003</cdr:x>
      <cdr:y>0.37864</cdr:y>
    </cdr:from>
    <cdr:to>
      <cdr:x>0.04197</cdr:x>
      <cdr:y>0.56432</cdr:y>
    </cdr:to>
    <cdr:sp macro="" textlink="">
      <cdr:nvSpPr>
        <cdr:cNvPr id="3" name="1 CuadroTexto"/>
        <cdr:cNvSpPr txBox="1"/>
      </cdr:nvSpPr>
      <cdr:spPr>
        <a:xfrm xmlns:a="http://schemas.openxmlformats.org/drawingml/2006/main">
          <a:off x="27214" y="2122714"/>
          <a:ext cx="353670" cy="1040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wordArtVert" wrap="square" rtlCol="0" anchor="t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MIN</a:t>
          </a:r>
        </a:p>
      </cdr:txBody>
    </cdr:sp>
  </cdr:relSizeAnchor>
  <cdr:relSizeAnchor xmlns:cdr="http://schemas.openxmlformats.org/drawingml/2006/chartDrawing">
    <cdr:from>
      <cdr:x>0.44378</cdr:x>
      <cdr:y>0.93689</cdr:y>
    </cdr:from>
    <cdr:to>
      <cdr:x>0.53866</cdr:x>
      <cdr:y>0.99029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4027714" y="5252358"/>
          <a:ext cx="861111" cy="299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/>
            <a:t>DÍA</a:t>
          </a:r>
        </a:p>
      </cdr:txBody>
    </cdr:sp>
  </cdr:relSizeAnchor>
  <cdr:relSizeAnchor xmlns:cdr="http://schemas.openxmlformats.org/drawingml/2006/chartDrawing">
    <cdr:from>
      <cdr:x>0.13943</cdr:x>
      <cdr:y>0.00834</cdr:y>
    </cdr:from>
    <cdr:to>
      <cdr:x>0.85812</cdr:x>
      <cdr:y>0.08262</cdr:y>
    </cdr:to>
    <cdr:sp macro="" textlink="">
      <cdr:nvSpPr>
        <cdr:cNvPr id="5" name="1 CuadroTexto"/>
        <cdr:cNvSpPr txBox="1"/>
      </cdr:nvSpPr>
      <cdr:spPr>
        <a:xfrm xmlns:a="http://schemas.openxmlformats.org/drawingml/2006/main">
          <a:off x="1271426" y="46763"/>
          <a:ext cx="6553545" cy="4167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s-CO" sz="1400" b="1">
              <a:solidFill>
                <a:srgbClr val="3333CC"/>
              </a:solidFill>
            </a:rPr>
            <a:t>TIEMPOS</a:t>
          </a:r>
          <a:r>
            <a:rPr lang="es-CO" sz="1400" b="1" baseline="0">
              <a:solidFill>
                <a:srgbClr val="3333CC"/>
              </a:solidFill>
            </a:rPr>
            <a:t> PERDIDOS SOPLADORA KRONESS GASLUX  ABRIL 2011</a:t>
          </a:r>
          <a:endParaRPr lang="es-CO" sz="1400" b="1">
            <a:solidFill>
              <a:srgbClr val="3333CC"/>
            </a:solidFill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653142</xdr:colOff>
      <xdr:row>2</xdr:row>
      <xdr:rowOff>95248</xdr:rowOff>
    </xdr:from>
    <xdr:to>
      <xdr:col>10</xdr:col>
      <xdr:colOff>966106</xdr:colOff>
      <xdr:row>5</xdr:row>
      <xdr:rowOff>122463</xdr:rowOff>
    </xdr:to>
    <xdr:sp macro="" textlink="">
      <xdr:nvSpPr>
        <xdr:cNvPr id="43011" name="WordArt 3">
          <a:extLst>
            <a:ext uri="{FF2B5EF4-FFF2-40B4-BE49-F238E27FC236}">
              <a16:creationId xmlns:a16="http://schemas.microsoft.com/office/drawing/2014/main" id="{00000000-0008-0000-0100-000003A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837213" y="367391"/>
          <a:ext cx="8096250" cy="59871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CO" sz="36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Tiempos Perdidos Tapa</a:t>
          </a:r>
          <a:r>
            <a:rPr lang="es-CO" sz="3600" kern="10" spc="0" baseline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 Plastica </a:t>
          </a:r>
          <a:r>
            <a:rPr lang="es-CO" sz="36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Iberplast. </a:t>
          </a:r>
        </a:p>
      </xdr:txBody>
    </xdr:sp>
    <xdr:clientData/>
  </xdr:twoCellAnchor>
  <xdr:twoCellAnchor>
    <xdr:from>
      <xdr:col>1</xdr:col>
      <xdr:colOff>0</xdr:colOff>
      <xdr:row>43</xdr:row>
      <xdr:rowOff>104775</xdr:rowOff>
    </xdr:from>
    <xdr:to>
      <xdr:col>11</xdr:col>
      <xdr:colOff>161925</xdr:colOff>
      <xdr:row>80</xdr:row>
      <xdr:rowOff>57150</xdr:rowOff>
    </xdr:to>
    <xdr:graphicFrame macro="">
      <xdr:nvGraphicFramePr>
        <xdr:cNvPr id="21134243" name="9 Gráfico">
          <a:extLst>
            <a:ext uri="{FF2B5EF4-FFF2-40B4-BE49-F238E27FC236}">
              <a16:creationId xmlns:a16="http://schemas.microsoft.com/office/drawing/2014/main" id="{00000000-0008-0000-0100-0000A37B4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83</xdr:row>
      <xdr:rowOff>28575</xdr:rowOff>
    </xdr:from>
    <xdr:to>
      <xdr:col>11</xdr:col>
      <xdr:colOff>152400</xdr:colOff>
      <xdr:row>118</xdr:row>
      <xdr:rowOff>180975</xdr:rowOff>
    </xdr:to>
    <xdr:graphicFrame macro="">
      <xdr:nvGraphicFramePr>
        <xdr:cNvPr id="21134244" name="13 Gráfico">
          <a:extLst>
            <a:ext uri="{FF2B5EF4-FFF2-40B4-BE49-F238E27FC236}">
              <a16:creationId xmlns:a16="http://schemas.microsoft.com/office/drawing/2014/main" id="{00000000-0008-0000-0100-0000A47B4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762000</xdr:colOff>
      <xdr:row>42</xdr:row>
      <xdr:rowOff>136071</xdr:rowOff>
    </xdr:from>
    <xdr:to>
      <xdr:col>0</xdr:col>
      <xdr:colOff>1508661</xdr:colOff>
      <xdr:row>63</xdr:row>
      <xdr:rowOff>120131</xdr:rowOff>
    </xdr:to>
    <xdr:sp macro="" textlink="">
      <xdr:nvSpPr>
        <xdr:cNvPr id="7" name="6 Flecha abaj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762000" y="4476750"/>
          <a:ext cx="746661" cy="4365560"/>
        </a:xfrm>
        <a:prstGeom prst="downArrow">
          <a:avLst/>
        </a:prstGeom>
        <a:solidFill>
          <a:schemeClr val="accent1"/>
        </a:solidFill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" rtlCol="0" anchor="ctr"/>
        <a:lstStyle/>
        <a:p>
          <a:pPr algn="ctr"/>
          <a:r>
            <a:rPr lang="es-CO" sz="2400" b="1">
              <a:solidFill>
                <a:schemeClr val="bg1"/>
              </a:solidFill>
            </a:rPr>
            <a:t>INDICADOR</a:t>
          </a:r>
        </a:p>
      </xdr:txBody>
    </xdr:sp>
    <xdr:clientData/>
  </xdr:twoCellAnchor>
  <xdr:twoCellAnchor>
    <xdr:from>
      <xdr:col>0</xdr:col>
      <xdr:colOff>884464</xdr:colOff>
      <xdr:row>80</xdr:row>
      <xdr:rowOff>122464</xdr:rowOff>
    </xdr:from>
    <xdr:to>
      <xdr:col>0</xdr:col>
      <xdr:colOff>1631125</xdr:colOff>
      <xdr:row>103</xdr:row>
      <xdr:rowOff>106524</xdr:rowOff>
    </xdr:to>
    <xdr:sp macro="" textlink="">
      <xdr:nvSpPr>
        <xdr:cNvPr id="8" name="7 Flecha abaj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884464" y="12083143"/>
          <a:ext cx="746661" cy="4365560"/>
        </a:xfrm>
        <a:prstGeom prst="downArrow">
          <a:avLst/>
        </a:prstGeom>
        <a:solidFill>
          <a:schemeClr val="accent1"/>
        </a:solidFill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" rtlCol="0" anchor="ctr"/>
        <a:lstStyle/>
        <a:p>
          <a:pPr algn="ctr"/>
          <a:r>
            <a:rPr lang="es-CO" sz="2400" b="1">
              <a:solidFill>
                <a:schemeClr val="bg1"/>
              </a:solidFill>
            </a:rPr>
            <a:t>INDICADOR</a:t>
          </a:r>
        </a:p>
      </xdr:txBody>
    </xdr:sp>
    <xdr:clientData/>
  </xdr:twoCellAnchor>
  <xdr:twoCellAnchor>
    <xdr:from>
      <xdr:col>0</xdr:col>
      <xdr:colOff>85725</xdr:colOff>
      <xdr:row>1</xdr:row>
      <xdr:rowOff>123825</xdr:rowOff>
    </xdr:from>
    <xdr:to>
      <xdr:col>2</xdr:col>
      <xdr:colOff>657225</xdr:colOff>
      <xdr:row>5</xdr:row>
      <xdr:rowOff>104775</xdr:rowOff>
    </xdr:to>
    <xdr:pic>
      <xdr:nvPicPr>
        <xdr:cNvPr id="21134247" name="Picture 1">
          <a:extLst>
            <a:ext uri="{FF2B5EF4-FFF2-40B4-BE49-F238E27FC236}">
              <a16:creationId xmlns:a16="http://schemas.microsoft.com/office/drawing/2014/main" id="{00000000-0008-0000-0100-0000A77B4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247650"/>
          <a:ext cx="4038600" cy="704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557892</xdr:colOff>
      <xdr:row>7</xdr:row>
      <xdr:rowOff>81642</xdr:rowOff>
    </xdr:from>
    <xdr:to>
      <xdr:col>15</xdr:col>
      <xdr:colOff>227694</xdr:colOff>
      <xdr:row>11</xdr:row>
      <xdr:rowOff>175078</xdr:rowOff>
    </xdr:to>
    <xdr:sp macro="" textlink="">
      <xdr:nvSpPr>
        <xdr:cNvPr id="10" name="9 Flecha izquierda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1525249" y="1279071"/>
          <a:ext cx="3248481" cy="108675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12</xdr:col>
      <xdr:colOff>595086</xdr:colOff>
      <xdr:row>9</xdr:row>
      <xdr:rowOff>0</xdr:rowOff>
    </xdr:from>
    <xdr:to>
      <xdr:col>15</xdr:col>
      <xdr:colOff>112486</xdr:colOff>
      <xdr:row>10</xdr:row>
      <xdr:rowOff>23382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4392729" y="1887062"/>
          <a:ext cx="1993900" cy="32707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MTTO</a:t>
          </a:r>
          <a:r>
            <a:rPr lang="es-CO" sz="1600" baseline="0"/>
            <a:t> PREVENTIVO</a:t>
          </a:r>
          <a:endParaRPr lang="es-CO" sz="1600"/>
        </a:p>
      </xdr:txBody>
    </xdr:sp>
    <xdr:clientData/>
  </xdr:twoCellAnchor>
  <xdr:twoCellAnchor>
    <xdr:from>
      <xdr:col>11</xdr:col>
      <xdr:colOff>609599</xdr:colOff>
      <xdr:row>12</xdr:row>
      <xdr:rowOff>254000</xdr:rowOff>
    </xdr:from>
    <xdr:to>
      <xdr:col>15</xdr:col>
      <xdr:colOff>403677</xdr:colOff>
      <xdr:row>16</xdr:row>
      <xdr:rowOff>136978</xdr:rowOff>
    </xdr:to>
    <xdr:sp macro="" textlink="">
      <xdr:nvSpPr>
        <xdr:cNvPr id="12" name="11 Flecha izquierda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6255999" y="3530600"/>
          <a:ext cx="3159578" cy="94977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12</xdr:col>
      <xdr:colOff>546099</xdr:colOff>
      <xdr:row>14</xdr:row>
      <xdr:rowOff>9276</xdr:rowOff>
    </xdr:from>
    <xdr:to>
      <xdr:col>15</xdr:col>
      <xdr:colOff>190500</xdr:colOff>
      <xdr:row>15</xdr:row>
      <xdr:rowOff>81643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7081499" y="3819276"/>
          <a:ext cx="2120901" cy="339067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CAMBIOS</a:t>
          </a:r>
          <a:r>
            <a:rPr lang="es-CO" sz="1600" baseline="0"/>
            <a:t> Y MTTO MOLDES</a:t>
          </a:r>
          <a:endParaRPr lang="es-CO" sz="16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666749</xdr:colOff>
      <xdr:row>2</xdr:row>
      <xdr:rowOff>95248</xdr:rowOff>
    </xdr:from>
    <xdr:to>
      <xdr:col>10</xdr:col>
      <xdr:colOff>1170213</xdr:colOff>
      <xdr:row>5</xdr:row>
      <xdr:rowOff>122463</xdr:rowOff>
    </xdr:to>
    <xdr:sp macro="" textlink="">
      <xdr:nvSpPr>
        <xdr:cNvPr id="2" name="WordArt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33849" y="371473"/>
          <a:ext cx="9209314" cy="59871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CO" sz="36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Tiempos Mtto Preventivo Tapa</a:t>
          </a:r>
          <a:r>
            <a:rPr lang="es-CO" sz="3600" kern="10" spc="0" baseline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 Plastica </a:t>
          </a:r>
          <a:r>
            <a:rPr lang="es-CO" sz="36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Iberplast</a:t>
          </a:r>
        </a:p>
      </xdr:txBody>
    </xdr:sp>
    <xdr:clientData/>
  </xdr:twoCellAnchor>
  <xdr:twoCellAnchor>
    <xdr:from>
      <xdr:col>1</xdr:col>
      <xdr:colOff>13607</xdr:colOff>
      <xdr:row>44</xdr:row>
      <xdr:rowOff>404132</xdr:rowOff>
    </xdr:from>
    <xdr:to>
      <xdr:col>12</xdr:col>
      <xdr:colOff>175532</xdr:colOff>
      <xdr:row>82</xdr:row>
      <xdr:rowOff>166007</xdr:rowOff>
    </xdr:to>
    <xdr:graphicFrame macro="">
      <xdr:nvGraphicFramePr>
        <xdr:cNvPr id="23021760" name="9 Gráfico">
          <a:extLst>
            <a:ext uri="{FF2B5EF4-FFF2-40B4-BE49-F238E27FC236}">
              <a16:creationId xmlns:a16="http://schemas.microsoft.com/office/drawing/2014/main" id="{00000000-0008-0000-0200-0000C0485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84</xdr:row>
      <xdr:rowOff>28575</xdr:rowOff>
    </xdr:from>
    <xdr:to>
      <xdr:col>12</xdr:col>
      <xdr:colOff>152400</xdr:colOff>
      <xdr:row>119</xdr:row>
      <xdr:rowOff>180975</xdr:rowOff>
    </xdr:to>
    <xdr:graphicFrame macro="">
      <xdr:nvGraphicFramePr>
        <xdr:cNvPr id="23021761" name="13 Gráfico">
          <a:extLst>
            <a:ext uri="{FF2B5EF4-FFF2-40B4-BE49-F238E27FC236}">
              <a16:creationId xmlns:a16="http://schemas.microsoft.com/office/drawing/2014/main" id="{00000000-0008-0000-0200-0000C1485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762000</xdr:colOff>
      <xdr:row>45</xdr:row>
      <xdr:rowOff>136071</xdr:rowOff>
    </xdr:from>
    <xdr:to>
      <xdr:col>0</xdr:col>
      <xdr:colOff>1508661</xdr:colOff>
      <xdr:row>66</xdr:row>
      <xdr:rowOff>120131</xdr:rowOff>
    </xdr:to>
    <xdr:sp macro="" textlink="">
      <xdr:nvSpPr>
        <xdr:cNvPr id="5" name="4 Flecha abaj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62000" y="10280196"/>
          <a:ext cx="746661" cy="4317935"/>
        </a:xfrm>
        <a:prstGeom prst="downArrow">
          <a:avLst/>
        </a:prstGeom>
        <a:solidFill>
          <a:schemeClr val="accent1"/>
        </a:solidFill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" rtlCol="0" anchor="ctr"/>
        <a:lstStyle/>
        <a:p>
          <a:pPr algn="ctr"/>
          <a:r>
            <a:rPr lang="es-CO" sz="2400" b="1">
              <a:solidFill>
                <a:schemeClr val="bg1"/>
              </a:solidFill>
            </a:rPr>
            <a:t>INDICADOR</a:t>
          </a:r>
        </a:p>
      </xdr:txBody>
    </xdr:sp>
    <xdr:clientData/>
  </xdr:twoCellAnchor>
  <xdr:twoCellAnchor>
    <xdr:from>
      <xdr:col>0</xdr:col>
      <xdr:colOff>884464</xdr:colOff>
      <xdr:row>83</xdr:row>
      <xdr:rowOff>122464</xdr:rowOff>
    </xdr:from>
    <xdr:to>
      <xdr:col>0</xdr:col>
      <xdr:colOff>1631125</xdr:colOff>
      <xdr:row>106</xdr:row>
      <xdr:rowOff>106524</xdr:rowOff>
    </xdr:to>
    <xdr:sp macro="" textlink="">
      <xdr:nvSpPr>
        <xdr:cNvPr id="6" name="5 Flecha abaj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884464" y="17838964"/>
          <a:ext cx="746661" cy="4365560"/>
        </a:xfrm>
        <a:prstGeom prst="downArrow">
          <a:avLst/>
        </a:prstGeom>
        <a:solidFill>
          <a:schemeClr val="accent1"/>
        </a:solidFill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" rtlCol="0" anchor="ctr"/>
        <a:lstStyle/>
        <a:p>
          <a:pPr algn="ctr"/>
          <a:r>
            <a:rPr lang="es-CO" sz="2400" b="1">
              <a:solidFill>
                <a:schemeClr val="bg1"/>
              </a:solidFill>
            </a:rPr>
            <a:t>INDICADOR</a:t>
          </a:r>
        </a:p>
      </xdr:txBody>
    </xdr:sp>
    <xdr:clientData/>
  </xdr:twoCellAnchor>
  <xdr:twoCellAnchor>
    <xdr:from>
      <xdr:col>0</xdr:col>
      <xdr:colOff>85725</xdr:colOff>
      <xdr:row>1</xdr:row>
      <xdr:rowOff>123825</xdr:rowOff>
    </xdr:from>
    <xdr:to>
      <xdr:col>2</xdr:col>
      <xdr:colOff>657225</xdr:colOff>
      <xdr:row>5</xdr:row>
      <xdr:rowOff>104775</xdr:rowOff>
    </xdr:to>
    <xdr:pic>
      <xdr:nvPicPr>
        <xdr:cNvPr id="23021764" name="Picture 1">
          <a:extLst>
            <a:ext uri="{FF2B5EF4-FFF2-40B4-BE49-F238E27FC236}">
              <a16:creationId xmlns:a16="http://schemas.microsoft.com/office/drawing/2014/main" id="{00000000-0008-0000-0200-0000C4485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247650"/>
          <a:ext cx="4038600" cy="704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</xdr:row>
      <xdr:rowOff>0</xdr:rowOff>
    </xdr:from>
    <xdr:to>
      <xdr:col>13</xdr:col>
      <xdr:colOff>879825</xdr:colOff>
      <xdr:row>12</xdr:row>
      <xdr:rowOff>71129</xdr:rowOff>
    </xdr:to>
    <xdr:sp macro="" textlink="">
      <xdr:nvSpPr>
        <xdr:cNvPr id="8" name="7 Flecha izquierda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5171964" y="2462893"/>
          <a:ext cx="1764290" cy="88755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12</xdr:col>
      <xdr:colOff>432955</xdr:colOff>
      <xdr:row>10</xdr:row>
      <xdr:rowOff>9277</xdr:rowOff>
    </xdr:from>
    <xdr:to>
      <xdr:col>13</xdr:col>
      <xdr:colOff>847354</xdr:colOff>
      <xdr:row>11</xdr:row>
      <xdr:rowOff>29379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15604919" y="2744313"/>
          <a:ext cx="1298864" cy="292245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REGRESAR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666749</xdr:colOff>
      <xdr:row>2</xdr:row>
      <xdr:rowOff>95248</xdr:rowOff>
    </xdr:from>
    <xdr:to>
      <xdr:col>10</xdr:col>
      <xdr:colOff>1170213</xdr:colOff>
      <xdr:row>5</xdr:row>
      <xdr:rowOff>122463</xdr:rowOff>
    </xdr:to>
    <xdr:sp macro="" textlink="">
      <xdr:nvSpPr>
        <xdr:cNvPr id="2" name="WordArt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33849" y="371473"/>
          <a:ext cx="9209314" cy="59871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CO" sz="36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Tiempos Cambios</a:t>
          </a:r>
          <a:r>
            <a:rPr lang="es-CO" sz="3600" kern="10" spc="0" baseline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 y Mtto Moldes</a:t>
          </a:r>
          <a:r>
            <a:rPr lang="es-CO" sz="36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 Tapa</a:t>
          </a:r>
          <a:r>
            <a:rPr lang="es-CO" sz="3600" kern="10" spc="0" baseline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 Plastica </a:t>
          </a:r>
          <a:r>
            <a:rPr lang="es-CO" sz="36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Iberplast</a:t>
          </a:r>
        </a:p>
      </xdr:txBody>
    </xdr:sp>
    <xdr:clientData/>
  </xdr:twoCellAnchor>
  <xdr:twoCellAnchor>
    <xdr:from>
      <xdr:col>0</xdr:col>
      <xdr:colOff>2044054</xdr:colOff>
      <xdr:row>45</xdr:row>
      <xdr:rowOff>91727</xdr:rowOff>
    </xdr:from>
    <xdr:to>
      <xdr:col>11</xdr:col>
      <xdr:colOff>967542</xdr:colOff>
      <xdr:row>82</xdr:row>
      <xdr:rowOff>44102</xdr:rowOff>
    </xdr:to>
    <xdr:graphicFrame macro="">
      <xdr:nvGraphicFramePr>
        <xdr:cNvPr id="23047371" name="9 Gráfico">
          <a:extLst>
            <a:ext uri="{FF2B5EF4-FFF2-40B4-BE49-F238E27FC236}">
              <a16:creationId xmlns:a16="http://schemas.microsoft.com/office/drawing/2014/main" id="{00000000-0008-0000-0300-0000CBAC5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83</xdr:row>
      <xdr:rowOff>28575</xdr:rowOff>
    </xdr:from>
    <xdr:to>
      <xdr:col>12</xdr:col>
      <xdr:colOff>152400</xdr:colOff>
      <xdr:row>118</xdr:row>
      <xdr:rowOff>180975</xdr:rowOff>
    </xdr:to>
    <xdr:graphicFrame macro="">
      <xdr:nvGraphicFramePr>
        <xdr:cNvPr id="23047372" name="13 Gráfico">
          <a:extLst>
            <a:ext uri="{FF2B5EF4-FFF2-40B4-BE49-F238E27FC236}">
              <a16:creationId xmlns:a16="http://schemas.microsoft.com/office/drawing/2014/main" id="{00000000-0008-0000-0300-0000CCAC5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762000</xdr:colOff>
      <xdr:row>44</xdr:row>
      <xdr:rowOff>136071</xdr:rowOff>
    </xdr:from>
    <xdr:to>
      <xdr:col>0</xdr:col>
      <xdr:colOff>1508661</xdr:colOff>
      <xdr:row>65</xdr:row>
      <xdr:rowOff>120131</xdr:rowOff>
    </xdr:to>
    <xdr:sp macro="" textlink="">
      <xdr:nvSpPr>
        <xdr:cNvPr id="5" name="4 Flecha abaj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762000" y="10280196"/>
          <a:ext cx="746661" cy="4317935"/>
        </a:xfrm>
        <a:prstGeom prst="downArrow">
          <a:avLst/>
        </a:prstGeom>
        <a:solidFill>
          <a:schemeClr val="accent1"/>
        </a:solidFill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" rtlCol="0" anchor="ctr"/>
        <a:lstStyle/>
        <a:p>
          <a:pPr algn="ctr"/>
          <a:r>
            <a:rPr lang="es-CO" sz="2400" b="1">
              <a:solidFill>
                <a:schemeClr val="bg1"/>
              </a:solidFill>
            </a:rPr>
            <a:t>INDICADOR</a:t>
          </a:r>
        </a:p>
      </xdr:txBody>
    </xdr:sp>
    <xdr:clientData/>
  </xdr:twoCellAnchor>
  <xdr:twoCellAnchor>
    <xdr:from>
      <xdr:col>0</xdr:col>
      <xdr:colOff>884464</xdr:colOff>
      <xdr:row>82</xdr:row>
      <xdr:rowOff>122464</xdr:rowOff>
    </xdr:from>
    <xdr:to>
      <xdr:col>0</xdr:col>
      <xdr:colOff>1631125</xdr:colOff>
      <xdr:row>105</xdr:row>
      <xdr:rowOff>106524</xdr:rowOff>
    </xdr:to>
    <xdr:sp macro="" textlink="">
      <xdr:nvSpPr>
        <xdr:cNvPr id="6" name="5 Flecha abajo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884464" y="17838964"/>
          <a:ext cx="746661" cy="4365560"/>
        </a:xfrm>
        <a:prstGeom prst="downArrow">
          <a:avLst/>
        </a:prstGeom>
        <a:solidFill>
          <a:schemeClr val="accent1"/>
        </a:solidFill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" rtlCol="0" anchor="ctr"/>
        <a:lstStyle/>
        <a:p>
          <a:pPr algn="ctr"/>
          <a:r>
            <a:rPr lang="es-CO" sz="2400" b="1">
              <a:solidFill>
                <a:schemeClr val="bg1"/>
              </a:solidFill>
            </a:rPr>
            <a:t>INDICADOR</a:t>
          </a:r>
        </a:p>
      </xdr:txBody>
    </xdr:sp>
    <xdr:clientData/>
  </xdr:twoCellAnchor>
  <xdr:twoCellAnchor>
    <xdr:from>
      <xdr:col>0</xdr:col>
      <xdr:colOff>85725</xdr:colOff>
      <xdr:row>1</xdr:row>
      <xdr:rowOff>123825</xdr:rowOff>
    </xdr:from>
    <xdr:to>
      <xdr:col>2</xdr:col>
      <xdr:colOff>657225</xdr:colOff>
      <xdr:row>5</xdr:row>
      <xdr:rowOff>104775</xdr:rowOff>
    </xdr:to>
    <xdr:pic>
      <xdr:nvPicPr>
        <xdr:cNvPr id="23047375" name="Picture 1">
          <a:extLst>
            <a:ext uri="{FF2B5EF4-FFF2-40B4-BE49-F238E27FC236}">
              <a16:creationId xmlns:a16="http://schemas.microsoft.com/office/drawing/2014/main" id="{00000000-0008-0000-0300-0000CFAC5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725" y="247650"/>
          <a:ext cx="4038600" cy="704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122464</xdr:colOff>
      <xdr:row>11</xdr:row>
      <xdr:rowOff>0</xdr:rowOff>
    </xdr:from>
    <xdr:to>
      <xdr:col>12</xdr:col>
      <xdr:colOff>934255</xdr:colOff>
      <xdr:row>14</xdr:row>
      <xdr:rowOff>71129</xdr:rowOff>
    </xdr:to>
    <xdr:sp macro="" textlink="">
      <xdr:nvSpPr>
        <xdr:cNvPr id="8" name="7 Flecha izquierda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1089821" y="2190750"/>
          <a:ext cx="1791505" cy="88755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11</xdr:col>
      <xdr:colOff>432955</xdr:colOff>
      <xdr:row>12</xdr:row>
      <xdr:rowOff>13607</xdr:rowOff>
    </xdr:from>
    <xdr:to>
      <xdr:col>12</xdr:col>
      <xdr:colOff>653143</xdr:colOff>
      <xdr:row>13</xdr:row>
      <xdr:rowOff>29380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11400312" y="2476500"/>
          <a:ext cx="1199902" cy="287916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REGRESAR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2314575</xdr:colOff>
      <xdr:row>3</xdr:row>
      <xdr:rowOff>9525</xdr:rowOff>
    </xdr:from>
    <xdr:to>
      <xdr:col>3</xdr:col>
      <xdr:colOff>47625</xdr:colOff>
      <xdr:row>4</xdr:row>
      <xdr:rowOff>171450</xdr:rowOff>
    </xdr:to>
    <xdr:sp macro="" textlink="">
      <xdr:nvSpPr>
        <xdr:cNvPr id="2" name="WordArt 1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209925" y="581025"/>
          <a:ext cx="1809750" cy="3524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CO" sz="3600" kern="10" spc="0">
              <a:ln w="9525">
                <a:solidFill>
                  <a:srgbClr val="6699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6699FF"/>
                  </a:gs>
                  <a:gs pos="50000">
                    <a:srgbClr val="FFFFFF"/>
                  </a:gs>
                  <a:gs pos="100000">
                    <a:srgbClr val="6699FF"/>
                  </a:gs>
                </a:gsLst>
                <a:lin ang="5400000" scaled="1"/>
              </a:grad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/>
              <a:cs typeface="Times New Roman"/>
            </a:rPr>
            <a:t>CCM 1</a:t>
          </a:r>
        </a:p>
      </xdr:txBody>
    </xdr:sp>
    <xdr:clientData/>
  </xdr:twoCellAnchor>
  <xdr:twoCellAnchor>
    <xdr:from>
      <xdr:col>0</xdr:col>
      <xdr:colOff>0</xdr:colOff>
      <xdr:row>1</xdr:row>
      <xdr:rowOff>19050</xdr:rowOff>
    </xdr:from>
    <xdr:to>
      <xdr:col>0</xdr:col>
      <xdr:colOff>0</xdr:colOff>
      <xdr:row>4</xdr:row>
      <xdr:rowOff>38100</xdr:rowOff>
    </xdr:to>
    <xdr:pic>
      <xdr:nvPicPr>
        <xdr:cNvPr id="21841236" name="Picture 17">
          <a:extLst>
            <a:ext uri="{FF2B5EF4-FFF2-40B4-BE49-F238E27FC236}">
              <a16:creationId xmlns:a16="http://schemas.microsoft.com/office/drawing/2014/main" id="{00000000-0008-0000-0400-000054454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550"/>
          <a:ext cx="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161925</xdr:rowOff>
    </xdr:from>
    <xdr:to>
      <xdr:col>1</xdr:col>
      <xdr:colOff>1552575</xdr:colOff>
      <xdr:row>4</xdr:row>
      <xdr:rowOff>180975</xdr:rowOff>
    </xdr:to>
    <xdr:pic>
      <xdr:nvPicPr>
        <xdr:cNvPr id="21841237" name="Picture 87">
          <a:extLst>
            <a:ext uri="{FF2B5EF4-FFF2-40B4-BE49-F238E27FC236}">
              <a16:creationId xmlns:a16="http://schemas.microsoft.com/office/drawing/2014/main" id="{00000000-0008-0000-0400-000055454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52425"/>
          <a:ext cx="24479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857250</xdr:colOff>
      <xdr:row>3</xdr:row>
      <xdr:rowOff>114300</xdr:rowOff>
    </xdr:from>
    <xdr:to>
      <xdr:col>1</xdr:col>
      <xdr:colOff>1465489</xdr:colOff>
      <xdr:row>5</xdr:row>
      <xdr:rowOff>9525</xdr:rowOff>
    </xdr:to>
    <xdr:sp macro="" textlink="">
      <xdr:nvSpPr>
        <xdr:cNvPr id="5" name="Text Box 8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>
          <a:spLocks noChangeArrowheads="1"/>
        </xdr:cNvSpPr>
      </xdr:nvSpPr>
      <xdr:spPr bwMode="auto">
        <a:xfrm>
          <a:off x="857250" y="685800"/>
          <a:ext cx="16478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200"/>
            </a:lnSpc>
            <a:defRPr sz="1000"/>
          </a:pPr>
          <a:r>
            <a:rPr lang="es-CO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AREA MANTENIMIENTO </a:t>
          </a:r>
          <a:r>
            <a:rPr lang="es-CO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lnSpc>
              <a:spcPts val="1100"/>
            </a:lnSpc>
            <a:defRPr sz="1000"/>
          </a:pPr>
          <a:endParaRPr lang="es-CO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768494</xdr:colOff>
      <xdr:row>25</xdr:row>
      <xdr:rowOff>75767</xdr:rowOff>
    </xdr:from>
    <xdr:to>
      <xdr:col>1</xdr:col>
      <xdr:colOff>1634403</xdr:colOff>
      <xdr:row>29</xdr:row>
      <xdr:rowOff>184006</xdr:rowOff>
    </xdr:to>
    <xdr:sp macro="" textlink="">
      <xdr:nvSpPr>
        <xdr:cNvPr id="3" name="2 Flecha izquierda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768494" y="4448608"/>
          <a:ext cx="1764290" cy="88755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</xdr:col>
      <xdr:colOff>303068</xdr:colOff>
      <xdr:row>26</xdr:row>
      <xdr:rowOff>162358</xdr:rowOff>
    </xdr:from>
    <xdr:to>
      <xdr:col>1</xdr:col>
      <xdr:colOff>1601932</xdr:colOff>
      <xdr:row>28</xdr:row>
      <xdr:rowOff>64943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201449" y="4730028"/>
          <a:ext cx="1298864" cy="292245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REGRESAR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2314575</xdr:colOff>
      <xdr:row>3</xdr:row>
      <xdr:rowOff>9525</xdr:rowOff>
    </xdr:from>
    <xdr:to>
      <xdr:col>3</xdr:col>
      <xdr:colOff>47625</xdr:colOff>
      <xdr:row>4</xdr:row>
      <xdr:rowOff>171450</xdr:rowOff>
    </xdr:to>
    <xdr:sp macro="" textlink="">
      <xdr:nvSpPr>
        <xdr:cNvPr id="2" name="WordArt 16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209925" y="581025"/>
          <a:ext cx="1809750" cy="3524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CO" sz="3600" kern="10" spc="0">
              <a:ln w="9525">
                <a:solidFill>
                  <a:srgbClr val="6699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6699FF"/>
                  </a:gs>
                  <a:gs pos="50000">
                    <a:srgbClr val="FFFFFF"/>
                  </a:gs>
                  <a:gs pos="100000">
                    <a:srgbClr val="6699FF"/>
                  </a:gs>
                </a:gsLst>
                <a:lin ang="5400000" scaled="1"/>
              </a:grad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/>
              <a:cs typeface="Times New Roman"/>
            </a:rPr>
            <a:t>CCM 2</a:t>
          </a:r>
        </a:p>
      </xdr:txBody>
    </xdr:sp>
    <xdr:clientData/>
  </xdr:twoCellAnchor>
  <xdr:twoCellAnchor>
    <xdr:from>
      <xdr:col>0</xdr:col>
      <xdr:colOff>0</xdr:colOff>
      <xdr:row>1</xdr:row>
      <xdr:rowOff>19050</xdr:rowOff>
    </xdr:from>
    <xdr:to>
      <xdr:col>0</xdr:col>
      <xdr:colOff>0</xdr:colOff>
      <xdr:row>4</xdr:row>
      <xdr:rowOff>38100</xdr:rowOff>
    </xdr:to>
    <xdr:pic>
      <xdr:nvPicPr>
        <xdr:cNvPr id="21801311" name="Picture 17">
          <a:extLst>
            <a:ext uri="{FF2B5EF4-FFF2-40B4-BE49-F238E27FC236}">
              <a16:creationId xmlns:a16="http://schemas.microsoft.com/office/drawing/2014/main" id="{00000000-0008-0000-0500-00005FA94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550"/>
          <a:ext cx="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161925</xdr:rowOff>
    </xdr:from>
    <xdr:to>
      <xdr:col>1</xdr:col>
      <xdr:colOff>1552575</xdr:colOff>
      <xdr:row>4</xdr:row>
      <xdr:rowOff>180975</xdr:rowOff>
    </xdr:to>
    <xdr:pic>
      <xdr:nvPicPr>
        <xdr:cNvPr id="21801312" name="Picture 87">
          <a:extLst>
            <a:ext uri="{FF2B5EF4-FFF2-40B4-BE49-F238E27FC236}">
              <a16:creationId xmlns:a16="http://schemas.microsoft.com/office/drawing/2014/main" id="{00000000-0008-0000-0500-000060A94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52425"/>
          <a:ext cx="24479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857250</xdr:colOff>
      <xdr:row>3</xdr:row>
      <xdr:rowOff>114300</xdr:rowOff>
    </xdr:from>
    <xdr:to>
      <xdr:col>1</xdr:col>
      <xdr:colOff>1609725</xdr:colOff>
      <xdr:row>5</xdr:row>
      <xdr:rowOff>9525</xdr:rowOff>
    </xdr:to>
    <xdr:sp macro="" textlink="">
      <xdr:nvSpPr>
        <xdr:cNvPr id="5" name="Text Box 88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>
          <a:spLocks noChangeArrowheads="1"/>
        </xdr:cNvSpPr>
      </xdr:nvSpPr>
      <xdr:spPr bwMode="auto">
        <a:xfrm>
          <a:off x="857250" y="685800"/>
          <a:ext cx="16478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CO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AREA MANTENIMIENTO </a:t>
          </a:r>
          <a:r>
            <a:rPr lang="es-CO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s-CO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1764290</xdr:colOff>
      <xdr:row>29</xdr:row>
      <xdr:rowOff>125557</xdr:rowOff>
    </xdr:to>
    <xdr:sp macro="" textlink="">
      <xdr:nvSpPr>
        <xdr:cNvPr id="6" name="5 Flecha izquierd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895350" y="4810125"/>
          <a:ext cx="1764290" cy="88755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</xdr:col>
      <xdr:colOff>432955</xdr:colOff>
      <xdr:row>26</xdr:row>
      <xdr:rowOff>90920</xdr:rowOff>
    </xdr:from>
    <xdr:to>
      <xdr:col>1</xdr:col>
      <xdr:colOff>1731819</xdr:colOff>
      <xdr:row>28</xdr:row>
      <xdr:rowOff>2165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328305" y="5091545"/>
          <a:ext cx="1298864" cy="292245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REGRESAR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2314575</xdr:colOff>
      <xdr:row>3</xdr:row>
      <xdr:rowOff>28575</xdr:rowOff>
    </xdr:from>
    <xdr:to>
      <xdr:col>1</xdr:col>
      <xdr:colOff>4105275</xdr:colOff>
      <xdr:row>4</xdr:row>
      <xdr:rowOff>171450</xdr:rowOff>
    </xdr:to>
    <xdr:sp macro="" textlink="">
      <xdr:nvSpPr>
        <xdr:cNvPr id="2" name="WordArt 16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209925" y="600075"/>
          <a:ext cx="1371600" cy="3333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CO" sz="3600" kern="10" spc="0">
              <a:ln w="9525">
                <a:solidFill>
                  <a:srgbClr val="6699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6699FF"/>
                  </a:gs>
                  <a:gs pos="50000">
                    <a:srgbClr val="FFFFFF"/>
                  </a:gs>
                  <a:gs pos="100000">
                    <a:srgbClr val="6699FF"/>
                  </a:gs>
                </a:gsLst>
                <a:lin ang="5400000" scaled="1"/>
              </a:grad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/>
              <a:cs typeface="Times New Roman"/>
            </a:rPr>
            <a:t>CCM 3</a:t>
          </a:r>
        </a:p>
      </xdr:txBody>
    </xdr:sp>
    <xdr:clientData/>
  </xdr:twoCellAnchor>
  <xdr:twoCellAnchor>
    <xdr:from>
      <xdr:col>0</xdr:col>
      <xdr:colOff>0</xdr:colOff>
      <xdr:row>1</xdr:row>
      <xdr:rowOff>19050</xdr:rowOff>
    </xdr:from>
    <xdr:to>
      <xdr:col>0</xdr:col>
      <xdr:colOff>0</xdr:colOff>
      <xdr:row>4</xdr:row>
      <xdr:rowOff>38100</xdr:rowOff>
    </xdr:to>
    <xdr:pic>
      <xdr:nvPicPr>
        <xdr:cNvPr id="21780833" name="Picture 17">
          <a:extLst>
            <a:ext uri="{FF2B5EF4-FFF2-40B4-BE49-F238E27FC236}">
              <a16:creationId xmlns:a16="http://schemas.microsoft.com/office/drawing/2014/main" id="{00000000-0008-0000-0600-000061594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550"/>
          <a:ext cx="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161925</xdr:rowOff>
    </xdr:from>
    <xdr:to>
      <xdr:col>1</xdr:col>
      <xdr:colOff>1552575</xdr:colOff>
      <xdr:row>4</xdr:row>
      <xdr:rowOff>180975</xdr:rowOff>
    </xdr:to>
    <xdr:pic>
      <xdr:nvPicPr>
        <xdr:cNvPr id="21780834" name="Picture 87">
          <a:extLst>
            <a:ext uri="{FF2B5EF4-FFF2-40B4-BE49-F238E27FC236}">
              <a16:creationId xmlns:a16="http://schemas.microsoft.com/office/drawing/2014/main" id="{00000000-0008-0000-0600-000062594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52425"/>
          <a:ext cx="24479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857250</xdr:colOff>
      <xdr:row>3</xdr:row>
      <xdr:rowOff>114300</xdr:rowOff>
    </xdr:from>
    <xdr:to>
      <xdr:col>1</xdr:col>
      <xdr:colOff>1609725</xdr:colOff>
      <xdr:row>5</xdr:row>
      <xdr:rowOff>9525</xdr:rowOff>
    </xdr:to>
    <xdr:sp macro="" textlink="">
      <xdr:nvSpPr>
        <xdr:cNvPr id="5" name="Text Box 88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857250" y="685800"/>
          <a:ext cx="16478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CO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AREA MANTENIMIENTO </a:t>
          </a:r>
          <a:r>
            <a:rPr lang="es-CO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s-CO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1764290</xdr:colOff>
      <xdr:row>27</xdr:row>
      <xdr:rowOff>125557</xdr:rowOff>
    </xdr:to>
    <xdr:sp macro="" textlink="">
      <xdr:nvSpPr>
        <xdr:cNvPr id="6" name="5 Flecha izquierd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895350" y="4438650"/>
          <a:ext cx="1764290" cy="88755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</xdr:col>
      <xdr:colOff>432955</xdr:colOff>
      <xdr:row>24</xdr:row>
      <xdr:rowOff>90920</xdr:rowOff>
    </xdr:from>
    <xdr:to>
      <xdr:col>1</xdr:col>
      <xdr:colOff>1731819</xdr:colOff>
      <xdr:row>26</xdr:row>
      <xdr:rowOff>2165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1328305" y="4720070"/>
          <a:ext cx="1298864" cy="292245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REGRESAR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2219325</xdr:colOff>
      <xdr:row>3</xdr:row>
      <xdr:rowOff>76200</xdr:rowOff>
    </xdr:from>
    <xdr:to>
      <xdr:col>3</xdr:col>
      <xdr:colOff>466725</xdr:colOff>
      <xdr:row>5</xdr:row>
      <xdr:rowOff>19050</xdr:rowOff>
    </xdr:to>
    <xdr:sp macro="" textlink="">
      <xdr:nvSpPr>
        <xdr:cNvPr id="2" name="WordArt 16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14675" y="647700"/>
          <a:ext cx="2609850" cy="3238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CO" sz="3600" kern="10" spc="0">
              <a:ln w="9525">
                <a:solidFill>
                  <a:srgbClr val="6699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6699FF"/>
                  </a:gs>
                  <a:gs pos="50000">
                    <a:srgbClr val="FFFFFF"/>
                  </a:gs>
                  <a:gs pos="100000">
                    <a:srgbClr val="6699FF"/>
                  </a:gs>
                </a:gsLst>
                <a:lin ang="5400000" scaled="1"/>
              </a:grad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/>
              <a:cs typeface="Times New Roman"/>
            </a:rPr>
            <a:t>CCM 64-1</a:t>
          </a:r>
        </a:p>
      </xdr:txBody>
    </xdr:sp>
    <xdr:clientData/>
  </xdr:twoCellAnchor>
  <xdr:twoCellAnchor>
    <xdr:from>
      <xdr:col>0</xdr:col>
      <xdr:colOff>0</xdr:colOff>
      <xdr:row>1</xdr:row>
      <xdr:rowOff>19050</xdr:rowOff>
    </xdr:from>
    <xdr:to>
      <xdr:col>0</xdr:col>
      <xdr:colOff>0</xdr:colOff>
      <xdr:row>4</xdr:row>
      <xdr:rowOff>38100</xdr:rowOff>
    </xdr:to>
    <xdr:pic>
      <xdr:nvPicPr>
        <xdr:cNvPr id="21802335" name="Picture 17">
          <a:extLst>
            <a:ext uri="{FF2B5EF4-FFF2-40B4-BE49-F238E27FC236}">
              <a16:creationId xmlns:a16="http://schemas.microsoft.com/office/drawing/2014/main" id="{00000000-0008-0000-0700-00005FAD4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550"/>
          <a:ext cx="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161925</xdr:rowOff>
    </xdr:from>
    <xdr:to>
      <xdr:col>1</xdr:col>
      <xdr:colOff>1552575</xdr:colOff>
      <xdr:row>4</xdr:row>
      <xdr:rowOff>180975</xdr:rowOff>
    </xdr:to>
    <xdr:pic>
      <xdr:nvPicPr>
        <xdr:cNvPr id="21802336" name="Picture 87">
          <a:extLst>
            <a:ext uri="{FF2B5EF4-FFF2-40B4-BE49-F238E27FC236}">
              <a16:creationId xmlns:a16="http://schemas.microsoft.com/office/drawing/2014/main" id="{00000000-0008-0000-0700-000060AD4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52425"/>
          <a:ext cx="24479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857250</xdr:colOff>
      <xdr:row>3</xdr:row>
      <xdr:rowOff>114300</xdr:rowOff>
    </xdr:from>
    <xdr:to>
      <xdr:col>1</xdr:col>
      <xdr:colOff>1628775</xdr:colOff>
      <xdr:row>5</xdr:row>
      <xdr:rowOff>9525</xdr:rowOff>
    </xdr:to>
    <xdr:sp macro="" textlink="">
      <xdr:nvSpPr>
        <xdr:cNvPr id="5" name="Text Box 88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857250" y="685800"/>
          <a:ext cx="166687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200"/>
            </a:lnSpc>
            <a:defRPr sz="1000"/>
          </a:pPr>
          <a:r>
            <a:rPr lang="es-CO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AREA MANTENIMIENTO </a:t>
          </a:r>
          <a:r>
            <a:rPr lang="es-CO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lnSpc>
              <a:spcPts val="1200"/>
            </a:lnSpc>
            <a:defRPr sz="1000"/>
          </a:pPr>
          <a:endParaRPr lang="es-CO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1764290</xdr:colOff>
      <xdr:row>29</xdr:row>
      <xdr:rowOff>125557</xdr:rowOff>
    </xdr:to>
    <xdr:sp macro="" textlink="">
      <xdr:nvSpPr>
        <xdr:cNvPr id="6" name="5 Flecha izquierd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895350" y="4400550"/>
          <a:ext cx="1764290" cy="88755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</xdr:col>
      <xdr:colOff>432955</xdr:colOff>
      <xdr:row>26</xdr:row>
      <xdr:rowOff>90920</xdr:rowOff>
    </xdr:from>
    <xdr:to>
      <xdr:col>1</xdr:col>
      <xdr:colOff>1731819</xdr:colOff>
      <xdr:row>28</xdr:row>
      <xdr:rowOff>2165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1328305" y="4681970"/>
          <a:ext cx="1298864" cy="292245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REGRESAR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2219325</xdr:colOff>
      <xdr:row>3</xdr:row>
      <xdr:rowOff>76200</xdr:rowOff>
    </xdr:from>
    <xdr:to>
      <xdr:col>3</xdr:col>
      <xdr:colOff>466725</xdr:colOff>
      <xdr:row>5</xdr:row>
      <xdr:rowOff>19050</xdr:rowOff>
    </xdr:to>
    <xdr:sp macro="" textlink="">
      <xdr:nvSpPr>
        <xdr:cNvPr id="2" name="WordArt 16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14675" y="647700"/>
          <a:ext cx="2609850" cy="3238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CO" sz="3600" kern="10" spc="0">
              <a:ln w="9525">
                <a:solidFill>
                  <a:srgbClr val="6699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6699FF"/>
                  </a:gs>
                  <a:gs pos="50000">
                    <a:srgbClr val="FFFFFF"/>
                  </a:gs>
                  <a:gs pos="100000">
                    <a:srgbClr val="6699FF"/>
                  </a:gs>
                </a:gsLst>
                <a:lin ang="5400000" scaled="1"/>
              </a:grad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/>
              <a:cs typeface="Times New Roman"/>
            </a:rPr>
            <a:t>CCM 64-2</a:t>
          </a:r>
        </a:p>
      </xdr:txBody>
    </xdr:sp>
    <xdr:clientData/>
  </xdr:twoCellAnchor>
  <xdr:twoCellAnchor>
    <xdr:from>
      <xdr:col>0</xdr:col>
      <xdr:colOff>0</xdr:colOff>
      <xdr:row>1</xdr:row>
      <xdr:rowOff>19050</xdr:rowOff>
    </xdr:from>
    <xdr:to>
      <xdr:col>0</xdr:col>
      <xdr:colOff>0</xdr:colOff>
      <xdr:row>4</xdr:row>
      <xdr:rowOff>38100</xdr:rowOff>
    </xdr:to>
    <xdr:pic>
      <xdr:nvPicPr>
        <xdr:cNvPr id="21803359" name="Picture 17">
          <a:extLst>
            <a:ext uri="{FF2B5EF4-FFF2-40B4-BE49-F238E27FC236}">
              <a16:creationId xmlns:a16="http://schemas.microsoft.com/office/drawing/2014/main" id="{00000000-0008-0000-0800-00005FB14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550"/>
          <a:ext cx="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161925</xdr:rowOff>
    </xdr:from>
    <xdr:to>
      <xdr:col>1</xdr:col>
      <xdr:colOff>1552575</xdr:colOff>
      <xdr:row>4</xdr:row>
      <xdr:rowOff>180975</xdr:rowOff>
    </xdr:to>
    <xdr:pic>
      <xdr:nvPicPr>
        <xdr:cNvPr id="21803360" name="Picture 87">
          <a:extLst>
            <a:ext uri="{FF2B5EF4-FFF2-40B4-BE49-F238E27FC236}">
              <a16:creationId xmlns:a16="http://schemas.microsoft.com/office/drawing/2014/main" id="{00000000-0008-0000-0800-000060B14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52425"/>
          <a:ext cx="24479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857250</xdr:colOff>
      <xdr:row>3</xdr:row>
      <xdr:rowOff>114300</xdr:rowOff>
    </xdr:from>
    <xdr:to>
      <xdr:col>1</xdr:col>
      <xdr:colOff>1609725</xdr:colOff>
      <xdr:row>5</xdr:row>
      <xdr:rowOff>9525</xdr:rowOff>
    </xdr:to>
    <xdr:sp macro="" textlink="">
      <xdr:nvSpPr>
        <xdr:cNvPr id="5" name="Text Box 88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857250" y="685800"/>
          <a:ext cx="16478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CO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AREA MANTENIMIENTO </a:t>
          </a:r>
          <a:r>
            <a:rPr lang="es-CO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s-CO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816769</xdr:colOff>
      <xdr:row>23</xdr:row>
      <xdr:rowOff>83343</xdr:rowOff>
    </xdr:from>
    <xdr:to>
      <xdr:col>1</xdr:col>
      <xdr:colOff>1685709</xdr:colOff>
      <xdr:row>27</xdr:row>
      <xdr:rowOff>149369</xdr:rowOff>
    </xdr:to>
    <xdr:sp macro="" textlink="">
      <xdr:nvSpPr>
        <xdr:cNvPr id="6" name="5 Flecha izquierd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816769" y="5726906"/>
          <a:ext cx="1761909" cy="828026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</xdr:col>
      <xdr:colOff>325005</xdr:colOff>
      <xdr:row>24</xdr:row>
      <xdr:rowOff>158653</xdr:rowOff>
    </xdr:from>
    <xdr:to>
      <xdr:col>1</xdr:col>
      <xdr:colOff>1623869</xdr:colOff>
      <xdr:row>26</xdr:row>
      <xdr:rowOff>69898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1224588" y="5714903"/>
          <a:ext cx="1298864" cy="292245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REGRESAR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2314575</xdr:colOff>
      <xdr:row>2</xdr:row>
      <xdr:rowOff>161924</xdr:rowOff>
    </xdr:from>
    <xdr:to>
      <xdr:col>2</xdr:col>
      <xdr:colOff>2438400</xdr:colOff>
      <xdr:row>4</xdr:row>
      <xdr:rowOff>171449</xdr:rowOff>
    </xdr:to>
    <xdr:sp macro="" textlink="">
      <xdr:nvSpPr>
        <xdr:cNvPr id="2" name="WordArt 16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76575" y="542924"/>
          <a:ext cx="3333750" cy="3905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CO" sz="3600" kern="10" spc="0">
              <a:ln w="9525">
                <a:solidFill>
                  <a:srgbClr val="6699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6699FF"/>
                  </a:gs>
                  <a:gs pos="50000">
                    <a:srgbClr val="FFFFFF"/>
                  </a:gs>
                  <a:gs pos="100000">
                    <a:srgbClr val="6699FF"/>
                  </a:gs>
                </a:gsLst>
                <a:lin ang="5400000" scaled="1"/>
              </a:grad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/>
              <a:cs typeface="Times New Roman"/>
            </a:rPr>
            <a:t>CCM</a:t>
          </a:r>
          <a:r>
            <a:rPr lang="es-CO" sz="3600" kern="10" spc="0" baseline="0">
              <a:ln w="9525">
                <a:solidFill>
                  <a:srgbClr val="6699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6699FF"/>
                  </a:gs>
                  <a:gs pos="50000">
                    <a:srgbClr val="FFFFFF"/>
                  </a:gs>
                  <a:gs pos="100000">
                    <a:srgbClr val="6699FF"/>
                  </a:gs>
                </a:gsLst>
                <a:lin ang="5400000" scaled="1"/>
              </a:grad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/>
              <a:cs typeface="Times New Roman"/>
            </a:rPr>
            <a:t> </a:t>
          </a:r>
          <a:r>
            <a:rPr lang="es-CO" sz="3600" kern="10" spc="0">
              <a:ln w="9525">
                <a:solidFill>
                  <a:srgbClr val="6699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6699FF"/>
                  </a:gs>
                  <a:gs pos="50000">
                    <a:srgbClr val="FFFFFF"/>
                  </a:gs>
                  <a:gs pos="100000">
                    <a:srgbClr val="6699FF"/>
                  </a:gs>
                </a:gsLst>
                <a:lin ang="5400000" scaled="1"/>
              </a:grad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/>
              <a:cs typeface="Times New Roman"/>
            </a:rPr>
            <a:t> 06</a:t>
          </a:r>
        </a:p>
      </xdr:txBody>
    </xdr:sp>
    <xdr:clientData/>
  </xdr:twoCellAnchor>
  <xdr:twoCellAnchor>
    <xdr:from>
      <xdr:col>0</xdr:col>
      <xdr:colOff>0</xdr:colOff>
      <xdr:row>1</xdr:row>
      <xdr:rowOff>161925</xdr:rowOff>
    </xdr:from>
    <xdr:to>
      <xdr:col>1</xdr:col>
      <xdr:colOff>1552575</xdr:colOff>
      <xdr:row>4</xdr:row>
      <xdr:rowOff>180975</xdr:rowOff>
    </xdr:to>
    <xdr:pic>
      <xdr:nvPicPr>
        <xdr:cNvPr id="3" name="Picture 87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52425"/>
          <a:ext cx="24479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857250</xdr:colOff>
      <xdr:row>3</xdr:row>
      <xdr:rowOff>114300</xdr:rowOff>
    </xdr:from>
    <xdr:to>
      <xdr:col>1</xdr:col>
      <xdr:colOff>762000</xdr:colOff>
      <xdr:row>5</xdr:row>
      <xdr:rowOff>9525</xdr:rowOff>
    </xdr:to>
    <xdr:sp macro="" textlink="">
      <xdr:nvSpPr>
        <xdr:cNvPr id="4" name="Text Box 88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857250" y="685800"/>
          <a:ext cx="16478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CO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AREA MANTENIMIENTO </a:t>
          </a:r>
          <a:r>
            <a:rPr lang="es-CO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s-CO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1764290</xdr:colOff>
      <xdr:row>25</xdr:row>
      <xdr:rowOff>125557</xdr:rowOff>
    </xdr:to>
    <xdr:sp macro="" textlink="">
      <xdr:nvSpPr>
        <xdr:cNvPr id="5" name="4 Flecha izquierda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895350" y="4152900"/>
          <a:ext cx="1764290" cy="88755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</xdr:col>
      <xdr:colOff>432955</xdr:colOff>
      <xdr:row>22</xdr:row>
      <xdr:rowOff>90920</xdr:rowOff>
    </xdr:from>
    <xdr:to>
      <xdr:col>1</xdr:col>
      <xdr:colOff>1731819</xdr:colOff>
      <xdr:row>24</xdr:row>
      <xdr:rowOff>2165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1328305" y="4434320"/>
          <a:ext cx="1298864" cy="292245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REGRESAR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2314575</xdr:colOff>
      <xdr:row>2</xdr:row>
      <xdr:rowOff>161924</xdr:rowOff>
    </xdr:from>
    <xdr:to>
      <xdr:col>2</xdr:col>
      <xdr:colOff>2438400</xdr:colOff>
      <xdr:row>4</xdr:row>
      <xdr:rowOff>171449</xdr:rowOff>
    </xdr:to>
    <xdr:sp macro="" textlink="">
      <xdr:nvSpPr>
        <xdr:cNvPr id="2" name="WordArt 16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76575" y="542924"/>
          <a:ext cx="5715000" cy="3905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CO" sz="3600" kern="10" spc="0">
              <a:ln w="9525">
                <a:solidFill>
                  <a:srgbClr val="6699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6699FF"/>
                  </a:gs>
                  <a:gs pos="50000">
                    <a:srgbClr val="FFFFFF"/>
                  </a:gs>
                  <a:gs pos="100000">
                    <a:srgbClr val="6699FF"/>
                  </a:gs>
                </a:gsLst>
                <a:lin ang="5400000" scaled="1"/>
              </a:grad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/>
              <a:cs typeface="Times New Roman"/>
            </a:rPr>
            <a:t>CCM</a:t>
          </a:r>
          <a:r>
            <a:rPr lang="es-CO" sz="3600" kern="10" spc="0" baseline="0">
              <a:ln w="9525">
                <a:solidFill>
                  <a:srgbClr val="6699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6699FF"/>
                  </a:gs>
                  <a:gs pos="50000">
                    <a:srgbClr val="FFFFFF"/>
                  </a:gs>
                  <a:gs pos="100000">
                    <a:srgbClr val="6699FF"/>
                  </a:gs>
                </a:gsLst>
                <a:lin ang="5400000" scaled="1"/>
              </a:grad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/>
              <a:cs typeface="Times New Roman"/>
            </a:rPr>
            <a:t> </a:t>
          </a:r>
          <a:r>
            <a:rPr lang="es-CO" sz="3600" kern="10" spc="0">
              <a:ln w="9525">
                <a:solidFill>
                  <a:srgbClr val="6699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6699FF"/>
                  </a:gs>
                  <a:gs pos="50000">
                    <a:srgbClr val="FFFFFF"/>
                  </a:gs>
                  <a:gs pos="100000">
                    <a:srgbClr val="6699FF"/>
                  </a:gs>
                </a:gsLst>
                <a:lin ang="5400000" scaled="1"/>
              </a:grad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/>
              <a:cs typeface="Times New Roman"/>
            </a:rPr>
            <a:t> 07</a:t>
          </a:r>
        </a:p>
      </xdr:txBody>
    </xdr:sp>
    <xdr:clientData/>
  </xdr:twoCellAnchor>
  <xdr:twoCellAnchor>
    <xdr:from>
      <xdr:col>0</xdr:col>
      <xdr:colOff>0</xdr:colOff>
      <xdr:row>1</xdr:row>
      <xdr:rowOff>161925</xdr:rowOff>
    </xdr:from>
    <xdr:to>
      <xdr:col>1</xdr:col>
      <xdr:colOff>1552575</xdr:colOff>
      <xdr:row>4</xdr:row>
      <xdr:rowOff>180975</xdr:rowOff>
    </xdr:to>
    <xdr:pic>
      <xdr:nvPicPr>
        <xdr:cNvPr id="3" name="Picture 87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52425"/>
          <a:ext cx="23145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857250</xdr:colOff>
      <xdr:row>3</xdr:row>
      <xdr:rowOff>114300</xdr:rowOff>
    </xdr:from>
    <xdr:to>
      <xdr:col>1</xdr:col>
      <xdr:colOff>762000</xdr:colOff>
      <xdr:row>5</xdr:row>
      <xdr:rowOff>9525</xdr:rowOff>
    </xdr:to>
    <xdr:sp macro="" textlink="">
      <xdr:nvSpPr>
        <xdr:cNvPr id="4" name="Text Box 88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762000" y="685800"/>
          <a:ext cx="7620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CO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AREA MANTENIMIENTO </a:t>
          </a:r>
          <a:r>
            <a:rPr lang="es-CO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s-CO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1764290</xdr:colOff>
      <xdr:row>25</xdr:row>
      <xdr:rowOff>125557</xdr:rowOff>
    </xdr:to>
    <xdr:sp macro="" textlink="">
      <xdr:nvSpPr>
        <xdr:cNvPr id="5" name="4 Flecha izquierda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762000" y="4200525"/>
          <a:ext cx="1764290" cy="88755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</xdr:col>
      <xdr:colOff>432955</xdr:colOff>
      <xdr:row>22</xdr:row>
      <xdr:rowOff>90920</xdr:rowOff>
    </xdr:from>
    <xdr:to>
      <xdr:col>1</xdr:col>
      <xdr:colOff>1731819</xdr:colOff>
      <xdr:row>24</xdr:row>
      <xdr:rowOff>2165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1194955" y="4481945"/>
          <a:ext cx="1298864" cy="292245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REGRESAR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2314575</xdr:colOff>
      <xdr:row>2</xdr:row>
      <xdr:rowOff>161924</xdr:rowOff>
    </xdr:from>
    <xdr:to>
      <xdr:col>2</xdr:col>
      <xdr:colOff>2438400</xdr:colOff>
      <xdr:row>4</xdr:row>
      <xdr:rowOff>171449</xdr:rowOff>
    </xdr:to>
    <xdr:sp macro="" textlink="">
      <xdr:nvSpPr>
        <xdr:cNvPr id="2" name="WordArt 16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76575" y="542924"/>
          <a:ext cx="5715000" cy="3905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CO" sz="3600" kern="10" spc="0">
              <a:ln w="9525">
                <a:solidFill>
                  <a:srgbClr val="6699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6699FF"/>
                  </a:gs>
                  <a:gs pos="50000">
                    <a:srgbClr val="FFFFFF"/>
                  </a:gs>
                  <a:gs pos="100000">
                    <a:srgbClr val="6699FF"/>
                  </a:gs>
                </a:gsLst>
                <a:lin ang="5400000" scaled="1"/>
              </a:grad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/>
              <a:cs typeface="Times New Roman"/>
            </a:rPr>
            <a:t>CCM</a:t>
          </a:r>
          <a:r>
            <a:rPr lang="es-CO" sz="3600" kern="10" spc="0" baseline="0">
              <a:ln w="9525">
                <a:solidFill>
                  <a:srgbClr val="6699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6699FF"/>
                  </a:gs>
                  <a:gs pos="50000">
                    <a:srgbClr val="FFFFFF"/>
                  </a:gs>
                  <a:gs pos="100000">
                    <a:srgbClr val="6699FF"/>
                  </a:gs>
                </a:gsLst>
                <a:lin ang="5400000" scaled="1"/>
              </a:grad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/>
              <a:cs typeface="Times New Roman"/>
            </a:rPr>
            <a:t> </a:t>
          </a:r>
          <a:r>
            <a:rPr lang="es-CO" sz="3600" kern="10" spc="0">
              <a:ln w="9525">
                <a:solidFill>
                  <a:srgbClr val="6699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6699FF"/>
                  </a:gs>
                  <a:gs pos="50000">
                    <a:srgbClr val="FFFFFF"/>
                  </a:gs>
                  <a:gs pos="100000">
                    <a:srgbClr val="6699FF"/>
                  </a:gs>
                </a:gsLst>
                <a:lin ang="5400000" scaled="1"/>
              </a:grad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/>
              <a:cs typeface="Times New Roman"/>
            </a:rPr>
            <a:t> 08</a:t>
          </a:r>
        </a:p>
      </xdr:txBody>
    </xdr:sp>
    <xdr:clientData/>
  </xdr:twoCellAnchor>
  <xdr:twoCellAnchor>
    <xdr:from>
      <xdr:col>0</xdr:col>
      <xdr:colOff>0</xdr:colOff>
      <xdr:row>1</xdr:row>
      <xdr:rowOff>161925</xdr:rowOff>
    </xdr:from>
    <xdr:to>
      <xdr:col>1</xdr:col>
      <xdr:colOff>1552575</xdr:colOff>
      <xdr:row>4</xdr:row>
      <xdr:rowOff>180975</xdr:rowOff>
    </xdr:to>
    <xdr:pic>
      <xdr:nvPicPr>
        <xdr:cNvPr id="3" name="Picture 87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52425"/>
          <a:ext cx="231457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857250</xdr:colOff>
      <xdr:row>3</xdr:row>
      <xdr:rowOff>114300</xdr:rowOff>
    </xdr:from>
    <xdr:to>
      <xdr:col>1</xdr:col>
      <xdr:colOff>762000</xdr:colOff>
      <xdr:row>5</xdr:row>
      <xdr:rowOff>9525</xdr:rowOff>
    </xdr:to>
    <xdr:sp macro="" textlink="">
      <xdr:nvSpPr>
        <xdr:cNvPr id="4" name="Text Box 88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762000" y="685800"/>
          <a:ext cx="7620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CO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AREA MANTENIMIENTO </a:t>
          </a:r>
          <a:r>
            <a:rPr lang="es-CO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s-CO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1764290</xdr:colOff>
      <xdr:row>24</xdr:row>
      <xdr:rowOff>125557</xdr:rowOff>
    </xdr:to>
    <xdr:sp macro="" textlink="">
      <xdr:nvSpPr>
        <xdr:cNvPr id="5" name="4 Flecha izquierda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762000" y="5172075"/>
          <a:ext cx="1764290" cy="88755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</xdr:col>
      <xdr:colOff>432955</xdr:colOff>
      <xdr:row>21</xdr:row>
      <xdr:rowOff>90920</xdr:rowOff>
    </xdr:from>
    <xdr:to>
      <xdr:col>1</xdr:col>
      <xdr:colOff>1731819</xdr:colOff>
      <xdr:row>23</xdr:row>
      <xdr:rowOff>2165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1194955" y="5453495"/>
          <a:ext cx="1298864" cy="292245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REGRESAR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2314575</xdr:colOff>
      <xdr:row>3</xdr:row>
      <xdr:rowOff>95250</xdr:rowOff>
    </xdr:from>
    <xdr:to>
      <xdr:col>1</xdr:col>
      <xdr:colOff>4105275</xdr:colOff>
      <xdr:row>4</xdr:row>
      <xdr:rowOff>171450</xdr:rowOff>
    </xdr:to>
    <xdr:sp macro="" textlink="">
      <xdr:nvSpPr>
        <xdr:cNvPr id="2" name="WordArt 16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209925" y="666750"/>
          <a:ext cx="1790700" cy="2667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CO" sz="3600" kern="10" spc="0">
              <a:ln w="9525">
                <a:solidFill>
                  <a:srgbClr val="6699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6699FF"/>
                  </a:gs>
                  <a:gs pos="50000">
                    <a:srgbClr val="FFFFFF"/>
                  </a:gs>
                  <a:gs pos="100000">
                    <a:srgbClr val="6699FF"/>
                  </a:gs>
                </a:gsLst>
                <a:lin ang="5400000" scaled="1"/>
              </a:grad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/>
              <a:cs typeface="Times New Roman"/>
            </a:rPr>
            <a:t>PMV 02</a:t>
          </a:r>
        </a:p>
      </xdr:txBody>
    </xdr:sp>
    <xdr:clientData/>
  </xdr:twoCellAnchor>
  <xdr:twoCellAnchor>
    <xdr:from>
      <xdr:col>0</xdr:col>
      <xdr:colOff>0</xdr:colOff>
      <xdr:row>1</xdr:row>
      <xdr:rowOff>19050</xdr:rowOff>
    </xdr:from>
    <xdr:to>
      <xdr:col>0</xdr:col>
      <xdr:colOff>0</xdr:colOff>
      <xdr:row>4</xdr:row>
      <xdr:rowOff>38100</xdr:rowOff>
    </xdr:to>
    <xdr:pic>
      <xdr:nvPicPr>
        <xdr:cNvPr id="21842263" name="Picture 17">
          <a:extLst>
            <a:ext uri="{FF2B5EF4-FFF2-40B4-BE49-F238E27FC236}">
              <a16:creationId xmlns:a16="http://schemas.microsoft.com/office/drawing/2014/main" id="{00000000-0008-0000-0C00-000057494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550"/>
          <a:ext cx="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161925</xdr:rowOff>
    </xdr:from>
    <xdr:to>
      <xdr:col>1</xdr:col>
      <xdr:colOff>1552575</xdr:colOff>
      <xdr:row>4</xdr:row>
      <xdr:rowOff>180975</xdr:rowOff>
    </xdr:to>
    <xdr:pic>
      <xdr:nvPicPr>
        <xdr:cNvPr id="21842264" name="Picture 87">
          <a:extLst>
            <a:ext uri="{FF2B5EF4-FFF2-40B4-BE49-F238E27FC236}">
              <a16:creationId xmlns:a16="http://schemas.microsoft.com/office/drawing/2014/main" id="{00000000-0008-0000-0C00-000058494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52425"/>
          <a:ext cx="24479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857250</xdr:colOff>
      <xdr:row>3</xdr:row>
      <xdr:rowOff>114300</xdr:rowOff>
    </xdr:from>
    <xdr:to>
      <xdr:col>1</xdr:col>
      <xdr:colOff>1609725</xdr:colOff>
      <xdr:row>5</xdr:row>
      <xdr:rowOff>9525</xdr:rowOff>
    </xdr:to>
    <xdr:sp macro="" textlink="">
      <xdr:nvSpPr>
        <xdr:cNvPr id="5" name="Text Box 88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 txBox="1">
          <a:spLocks noChangeArrowheads="1"/>
        </xdr:cNvSpPr>
      </xdr:nvSpPr>
      <xdr:spPr bwMode="auto">
        <a:xfrm>
          <a:off x="857250" y="685800"/>
          <a:ext cx="16478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CO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AREA MANTENIMIENTO </a:t>
          </a:r>
          <a:r>
            <a:rPr lang="es-CO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s-CO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1764290</xdr:colOff>
      <xdr:row>21</xdr:row>
      <xdr:rowOff>125557</xdr:rowOff>
    </xdr:to>
    <xdr:sp macro="" textlink="">
      <xdr:nvSpPr>
        <xdr:cNvPr id="6" name="5 Flecha izquierd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/>
      </xdr:nvSpPr>
      <xdr:spPr>
        <a:xfrm>
          <a:off x="895350" y="3800475"/>
          <a:ext cx="1764290" cy="88755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</xdr:col>
      <xdr:colOff>432955</xdr:colOff>
      <xdr:row>18</xdr:row>
      <xdr:rowOff>90920</xdr:rowOff>
    </xdr:from>
    <xdr:to>
      <xdr:col>1</xdr:col>
      <xdr:colOff>1731819</xdr:colOff>
      <xdr:row>20</xdr:row>
      <xdr:rowOff>2165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/>
      </xdr:nvSpPr>
      <xdr:spPr>
        <a:xfrm>
          <a:off x="1328305" y="4081895"/>
          <a:ext cx="1298864" cy="292245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REGRESAR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2314575</xdr:colOff>
      <xdr:row>3</xdr:row>
      <xdr:rowOff>95250</xdr:rowOff>
    </xdr:from>
    <xdr:to>
      <xdr:col>1</xdr:col>
      <xdr:colOff>4105275</xdr:colOff>
      <xdr:row>4</xdr:row>
      <xdr:rowOff>171450</xdr:rowOff>
    </xdr:to>
    <xdr:sp macro="" textlink="">
      <xdr:nvSpPr>
        <xdr:cNvPr id="2" name="WordArt 16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209925" y="666750"/>
          <a:ext cx="1790700" cy="2667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CO" sz="3600" kern="10" spc="0">
              <a:ln w="9525">
                <a:solidFill>
                  <a:srgbClr val="6699FF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6699FF"/>
                  </a:gs>
                  <a:gs pos="50000">
                    <a:srgbClr val="FFFFFF"/>
                  </a:gs>
                  <a:gs pos="100000">
                    <a:srgbClr val="6699FF"/>
                  </a:gs>
                </a:gsLst>
                <a:lin ang="5400000" scaled="1"/>
              </a:gradFill>
              <a:effectLst>
                <a:outerShdw dist="563972" dir="14049741" sx="125000" sy="125000" algn="tl" rotWithShape="0">
                  <a:srgbClr val="C7DFD3">
                    <a:alpha val="80000"/>
                  </a:srgbClr>
                </a:outerShdw>
              </a:effectLst>
              <a:latin typeface="Times New Roman"/>
              <a:cs typeface="Times New Roman"/>
            </a:rPr>
            <a:t>PMV 04</a:t>
          </a:r>
        </a:p>
      </xdr:txBody>
    </xdr:sp>
    <xdr:clientData/>
  </xdr:twoCellAnchor>
  <xdr:twoCellAnchor>
    <xdr:from>
      <xdr:col>0</xdr:col>
      <xdr:colOff>0</xdr:colOff>
      <xdr:row>1</xdr:row>
      <xdr:rowOff>19050</xdr:rowOff>
    </xdr:from>
    <xdr:to>
      <xdr:col>0</xdr:col>
      <xdr:colOff>0</xdr:colOff>
      <xdr:row>4</xdr:row>
      <xdr:rowOff>38100</xdr:rowOff>
    </xdr:to>
    <xdr:pic>
      <xdr:nvPicPr>
        <xdr:cNvPr id="21863763" name="Picture 17">
          <a:extLst>
            <a:ext uri="{FF2B5EF4-FFF2-40B4-BE49-F238E27FC236}">
              <a16:creationId xmlns:a16="http://schemas.microsoft.com/office/drawing/2014/main" id="{00000000-0008-0000-0D00-0000539D4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550"/>
          <a:ext cx="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161925</xdr:rowOff>
    </xdr:from>
    <xdr:to>
      <xdr:col>1</xdr:col>
      <xdr:colOff>1552575</xdr:colOff>
      <xdr:row>4</xdr:row>
      <xdr:rowOff>180975</xdr:rowOff>
    </xdr:to>
    <xdr:pic>
      <xdr:nvPicPr>
        <xdr:cNvPr id="21863764" name="Picture 87">
          <a:extLst>
            <a:ext uri="{FF2B5EF4-FFF2-40B4-BE49-F238E27FC236}">
              <a16:creationId xmlns:a16="http://schemas.microsoft.com/office/drawing/2014/main" id="{00000000-0008-0000-0D00-0000549D4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52425"/>
          <a:ext cx="24479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857250</xdr:colOff>
      <xdr:row>3</xdr:row>
      <xdr:rowOff>114300</xdr:rowOff>
    </xdr:from>
    <xdr:to>
      <xdr:col>1</xdr:col>
      <xdr:colOff>1609725</xdr:colOff>
      <xdr:row>5</xdr:row>
      <xdr:rowOff>9525</xdr:rowOff>
    </xdr:to>
    <xdr:sp macro="" textlink="">
      <xdr:nvSpPr>
        <xdr:cNvPr id="5" name="Text Box 88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857250" y="685800"/>
          <a:ext cx="16478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CO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AREA MANTENIMIENTO </a:t>
          </a:r>
          <a:r>
            <a:rPr lang="es-CO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es-CO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1764290</xdr:colOff>
      <xdr:row>23</xdr:row>
      <xdr:rowOff>125557</xdr:rowOff>
    </xdr:to>
    <xdr:sp macro="" textlink="">
      <xdr:nvSpPr>
        <xdr:cNvPr id="6" name="5 Flecha izquierda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895350" y="3800475"/>
          <a:ext cx="1764290" cy="88755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</xdr:col>
      <xdr:colOff>432955</xdr:colOff>
      <xdr:row>20</xdr:row>
      <xdr:rowOff>90920</xdr:rowOff>
    </xdr:from>
    <xdr:to>
      <xdr:col>1</xdr:col>
      <xdr:colOff>1731819</xdr:colOff>
      <xdr:row>22</xdr:row>
      <xdr:rowOff>2165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>
          <a:off x="1328305" y="4081895"/>
          <a:ext cx="1298864" cy="292245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REGRESAR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wortiz/Configuraci&#243;n%20local/Archivos%20temporales%20de%20Internet/OLK2A5/entrega%20de%20turno%20septiemb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wortiz/Mis%20documentos/Walter/Para%20Presentar/2011/Abril/Para%20Presentar/Noviembre/Tiempos%20Perdidos%20Noviembre%202010%20PLANTAS%20IBERPLA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ajos Realizados"/>
      <sheetName val="PENDIENTES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IBPHG"/>
      <sheetName val="tiempos Perdidos IBERPLAST"/>
      <sheetName val="Trabajos Realizados BQuilla"/>
      <sheetName val="Trabajos Realizados Bello"/>
      <sheetName val="Trabajos Realizados B8-1"/>
      <sheetName val="Trabajos Realizados B8-3"/>
      <sheetName val="Trabajos Realizados B14"/>
      <sheetName val="Trabajos Realizados HOT FIL"/>
      <sheetName val="Trabajos Realizados Yumbo"/>
    </sheetNames>
    <sheetDataSet>
      <sheetData sheetId="0"/>
      <sheetData sheetId="1">
        <row r="9">
          <cell r="B9">
            <v>0</v>
          </cell>
          <cell r="C9">
            <v>54</v>
          </cell>
          <cell r="D9">
            <v>3</v>
          </cell>
          <cell r="E9">
            <v>10</v>
          </cell>
          <cell r="F9">
            <v>0</v>
          </cell>
          <cell r="G9">
            <v>0</v>
          </cell>
          <cell r="H9">
            <v>69</v>
          </cell>
          <cell r="I9">
            <v>0</v>
          </cell>
          <cell r="J9">
            <v>100</v>
          </cell>
          <cell r="K9">
            <v>15</v>
          </cell>
          <cell r="L9">
            <v>12</v>
          </cell>
          <cell r="M9">
            <v>93</v>
          </cell>
          <cell r="N9">
            <v>0</v>
          </cell>
          <cell r="O9">
            <v>0</v>
          </cell>
          <cell r="P9">
            <v>0</v>
          </cell>
          <cell r="Q9">
            <v>22</v>
          </cell>
          <cell r="R9">
            <v>70</v>
          </cell>
          <cell r="S9">
            <v>208</v>
          </cell>
          <cell r="T9">
            <v>56</v>
          </cell>
          <cell r="U9">
            <v>0</v>
          </cell>
          <cell r="V9">
            <v>0</v>
          </cell>
          <cell r="W9">
            <v>24</v>
          </cell>
          <cell r="X9">
            <v>6</v>
          </cell>
          <cell r="Y9">
            <v>280</v>
          </cell>
          <cell r="Z9">
            <v>101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</row>
        <row r="10">
          <cell r="B10">
            <v>0</v>
          </cell>
          <cell r="C10">
            <v>8</v>
          </cell>
          <cell r="D10">
            <v>0</v>
          </cell>
          <cell r="E10">
            <v>0</v>
          </cell>
          <cell r="F10">
            <v>13</v>
          </cell>
          <cell r="G10">
            <v>110</v>
          </cell>
          <cell r="H10">
            <v>20</v>
          </cell>
          <cell r="I10">
            <v>0</v>
          </cell>
          <cell r="J10">
            <v>20</v>
          </cell>
          <cell r="K10">
            <v>3</v>
          </cell>
          <cell r="L10">
            <v>2</v>
          </cell>
          <cell r="M10">
            <v>20</v>
          </cell>
          <cell r="N10">
            <v>3</v>
          </cell>
          <cell r="O10">
            <v>0</v>
          </cell>
          <cell r="P10">
            <v>35</v>
          </cell>
          <cell r="Q10">
            <v>12</v>
          </cell>
          <cell r="R10">
            <v>7</v>
          </cell>
          <cell r="S10">
            <v>32</v>
          </cell>
          <cell r="T10">
            <v>0</v>
          </cell>
          <cell r="U10">
            <v>0</v>
          </cell>
          <cell r="V10">
            <v>0</v>
          </cell>
          <cell r="W10">
            <v>24</v>
          </cell>
          <cell r="X10">
            <v>5</v>
          </cell>
          <cell r="Y10">
            <v>32</v>
          </cell>
          <cell r="Z10">
            <v>5</v>
          </cell>
          <cell r="AA10">
            <v>5</v>
          </cell>
          <cell r="AB10">
            <v>2</v>
          </cell>
          <cell r="AC10">
            <v>5</v>
          </cell>
          <cell r="AD10">
            <v>12</v>
          </cell>
          <cell r="AE10">
            <v>17</v>
          </cell>
        </row>
        <row r="11">
          <cell r="B11">
            <v>0</v>
          </cell>
          <cell r="C11">
            <v>0</v>
          </cell>
          <cell r="D11">
            <v>30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20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25</v>
          </cell>
          <cell r="S11">
            <v>0</v>
          </cell>
          <cell r="T11">
            <v>130</v>
          </cell>
          <cell r="U11">
            <v>150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37</v>
          </cell>
          <cell r="AA11">
            <v>21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</row>
        <row r="12">
          <cell r="B12">
            <v>0</v>
          </cell>
          <cell r="C12">
            <v>28</v>
          </cell>
          <cell r="D12">
            <v>47</v>
          </cell>
          <cell r="E12">
            <v>4</v>
          </cell>
          <cell r="F12">
            <v>52</v>
          </cell>
          <cell r="G12">
            <v>127</v>
          </cell>
          <cell r="H12">
            <v>0</v>
          </cell>
          <cell r="I12">
            <v>0</v>
          </cell>
          <cell r="J12">
            <v>0</v>
          </cell>
          <cell r="K12">
            <v>10</v>
          </cell>
          <cell r="L12">
            <v>10</v>
          </cell>
          <cell r="M12">
            <v>335</v>
          </cell>
          <cell r="N12">
            <v>0</v>
          </cell>
          <cell r="O12">
            <v>59</v>
          </cell>
          <cell r="P12">
            <v>22</v>
          </cell>
          <cell r="Q12">
            <v>205</v>
          </cell>
          <cell r="R12">
            <v>0</v>
          </cell>
          <cell r="S12">
            <v>10</v>
          </cell>
          <cell r="T12">
            <v>0</v>
          </cell>
          <cell r="U12">
            <v>33</v>
          </cell>
          <cell r="V12">
            <v>0</v>
          </cell>
          <cell r="W12">
            <v>60</v>
          </cell>
          <cell r="X12">
            <v>10</v>
          </cell>
          <cell r="Y12">
            <v>10</v>
          </cell>
          <cell r="Z12">
            <v>0</v>
          </cell>
          <cell r="AA12">
            <v>259</v>
          </cell>
          <cell r="AB12">
            <v>0</v>
          </cell>
          <cell r="AC12">
            <v>13</v>
          </cell>
          <cell r="AD12">
            <v>0</v>
          </cell>
          <cell r="AE12">
            <v>15</v>
          </cell>
        </row>
        <row r="13">
          <cell r="B13">
            <v>40</v>
          </cell>
          <cell r="C13">
            <v>18</v>
          </cell>
          <cell r="D13">
            <v>15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36</v>
          </cell>
          <cell r="L13">
            <v>66</v>
          </cell>
          <cell r="M13">
            <v>368</v>
          </cell>
          <cell r="N13">
            <v>33</v>
          </cell>
          <cell r="O13">
            <v>8</v>
          </cell>
          <cell r="P13">
            <v>0</v>
          </cell>
          <cell r="Q13">
            <v>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20</v>
          </cell>
          <cell r="AE13">
            <v>437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6</v>
          </cell>
          <cell r="F15">
            <v>0</v>
          </cell>
          <cell r="G15">
            <v>10</v>
          </cell>
          <cell r="H15">
            <v>0</v>
          </cell>
          <cell r="I15">
            <v>0</v>
          </cell>
          <cell r="J15">
            <v>5</v>
          </cell>
          <cell r="K15">
            <v>0</v>
          </cell>
          <cell r="L15">
            <v>5</v>
          </cell>
          <cell r="M15">
            <v>0</v>
          </cell>
          <cell r="N15">
            <v>25</v>
          </cell>
          <cell r="O15">
            <v>0</v>
          </cell>
          <cell r="P15">
            <v>10</v>
          </cell>
          <cell r="Q15">
            <v>7</v>
          </cell>
          <cell r="R15">
            <v>17</v>
          </cell>
          <cell r="S15">
            <v>0</v>
          </cell>
          <cell r="T15">
            <v>0</v>
          </cell>
          <cell r="U15">
            <v>4</v>
          </cell>
          <cell r="V15">
            <v>0</v>
          </cell>
          <cell r="W15">
            <v>5</v>
          </cell>
          <cell r="X15">
            <v>39</v>
          </cell>
          <cell r="Y15">
            <v>3</v>
          </cell>
          <cell r="Z15">
            <v>59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4:I289"/>
  <sheetViews>
    <sheetView zoomScale="70" zoomScaleNormal="70" workbookViewId="0">
      <selection activeCell="F152" sqref="F152"/>
    </sheetView>
  </sheetViews>
  <sheetFormatPr baseColWidth="10" defaultColWidth="11.42578125" defaultRowHeight="15"/>
  <cols>
    <col min="1" max="1" width="34.5703125" style="1" customWidth="1"/>
    <col min="2" max="2" width="22.140625" style="1" customWidth="1"/>
    <col min="3" max="9" width="17.42578125" style="1" customWidth="1"/>
    <col min="10" max="18" width="12.85546875" style="1" customWidth="1"/>
    <col min="19" max="33" width="14" style="1" customWidth="1"/>
    <col min="34" max="34" width="23.42578125" style="1" customWidth="1"/>
    <col min="35" max="16384" width="11.42578125" style="1"/>
  </cols>
  <sheetData>
    <row r="4" spans="1:9" ht="15.75" thickBot="1"/>
    <row r="5" spans="1:9" ht="16.5" customHeight="1" thickTop="1">
      <c r="A5" s="127" t="s">
        <v>0</v>
      </c>
      <c r="B5" s="127" t="s">
        <v>1</v>
      </c>
      <c r="C5" s="127" t="s">
        <v>2</v>
      </c>
      <c r="D5" s="127" t="s">
        <v>3</v>
      </c>
      <c r="E5" s="127" t="s">
        <v>4</v>
      </c>
      <c r="F5" s="127" t="s">
        <v>5</v>
      </c>
      <c r="G5" s="127" t="s">
        <v>6</v>
      </c>
      <c r="H5" s="127" t="s">
        <v>7</v>
      </c>
      <c r="I5" s="127" t="s">
        <v>8</v>
      </c>
    </row>
    <row r="6" spans="1:9" ht="29.25" customHeight="1" thickBot="1">
      <c r="A6" s="128"/>
      <c r="B6" s="128"/>
      <c r="C6" s="128"/>
      <c r="D6" s="128"/>
      <c r="E6" s="128"/>
      <c r="F6" s="128"/>
      <c r="G6" s="128"/>
      <c r="H6" s="128"/>
      <c r="I6" s="128"/>
    </row>
    <row r="7" spans="1:9" ht="29.25" customHeight="1" thickTop="1">
      <c r="A7" s="8">
        <v>40664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</row>
    <row r="8" spans="1:9" ht="21">
      <c r="A8" s="10">
        <v>40665</v>
      </c>
      <c r="B8" s="11">
        <v>0</v>
      </c>
      <c r="C8" s="11">
        <v>0</v>
      </c>
      <c r="D8" s="11">
        <v>45</v>
      </c>
      <c r="E8" s="9">
        <v>0</v>
      </c>
      <c r="F8" s="11">
        <v>0</v>
      </c>
      <c r="G8" s="11">
        <v>0</v>
      </c>
      <c r="H8" s="11">
        <v>0</v>
      </c>
      <c r="I8" s="9">
        <v>0</v>
      </c>
    </row>
    <row r="9" spans="1:9" ht="21">
      <c r="A9" s="8">
        <v>40666</v>
      </c>
      <c r="B9" s="11">
        <v>229</v>
      </c>
      <c r="C9" s="11">
        <v>0</v>
      </c>
      <c r="D9" s="11">
        <v>20</v>
      </c>
      <c r="E9" s="11">
        <v>58</v>
      </c>
      <c r="F9" s="11">
        <v>0</v>
      </c>
      <c r="G9" s="11">
        <v>0</v>
      </c>
      <c r="H9" s="11">
        <v>0</v>
      </c>
      <c r="I9" s="9">
        <v>0</v>
      </c>
    </row>
    <row r="10" spans="1:9" ht="21">
      <c r="A10" s="10">
        <v>40667</v>
      </c>
      <c r="B10" s="11">
        <v>191</v>
      </c>
      <c r="C10" s="11">
        <v>0</v>
      </c>
      <c r="D10" s="11">
        <v>20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</row>
    <row r="11" spans="1:9" ht="21">
      <c r="A11" s="8">
        <v>40668</v>
      </c>
      <c r="B11" s="11">
        <v>612</v>
      </c>
      <c r="C11" s="11">
        <v>15</v>
      </c>
      <c r="D11" s="11">
        <v>90</v>
      </c>
      <c r="E11" s="11">
        <v>40</v>
      </c>
      <c r="F11" s="11">
        <v>30</v>
      </c>
      <c r="G11" s="11">
        <v>0</v>
      </c>
      <c r="H11" s="11">
        <v>0</v>
      </c>
      <c r="I11" s="11">
        <v>0</v>
      </c>
    </row>
    <row r="12" spans="1:9" ht="21">
      <c r="A12" s="10">
        <v>40669</v>
      </c>
      <c r="B12" s="11">
        <v>22</v>
      </c>
      <c r="C12" s="11">
        <v>10</v>
      </c>
      <c r="D12" s="11">
        <v>0</v>
      </c>
      <c r="E12" s="11">
        <v>22</v>
      </c>
      <c r="F12" s="11">
        <v>0</v>
      </c>
      <c r="G12" s="11">
        <v>0</v>
      </c>
      <c r="H12" s="11">
        <v>0</v>
      </c>
      <c r="I12" s="11">
        <v>0</v>
      </c>
    </row>
    <row r="13" spans="1:9" ht="21">
      <c r="A13" s="8">
        <v>40670</v>
      </c>
      <c r="B13" s="11">
        <v>0</v>
      </c>
      <c r="C13" s="11">
        <v>49</v>
      </c>
      <c r="D13" s="11">
        <v>50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</row>
    <row r="14" spans="1:9" ht="21">
      <c r="A14" s="10">
        <v>40671</v>
      </c>
      <c r="B14" s="11">
        <v>0</v>
      </c>
      <c r="C14" s="11">
        <v>0</v>
      </c>
      <c r="D14" s="11">
        <v>120</v>
      </c>
      <c r="E14" s="11">
        <v>0</v>
      </c>
      <c r="F14" s="11">
        <v>0</v>
      </c>
      <c r="G14" s="11">
        <v>0</v>
      </c>
      <c r="H14" s="11">
        <v>2</v>
      </c>
      <c r="I14" s="11">
        <v>0</v>
      </c>
    </row>
    <row r="15" spans="1:9" ht="21">
      <c r="A15" s="8">
        <v>40672</v>
      </c>
      <c r="B15" s="11">
        <f>56+20+8</f>
        <v>84</v>
      </c>
      <c r="C15" s="11">
        <v>0</v>
      </c>
      <c r="D15" s="11">
        <v>50</v>
      </c>
      <c r="E15" s="11">
        <v>105</v>
      </c>
      <c r="F15" s="11">
        <v>0</v>
      </c>
      <c r="G15" s="11">
        <v>0</v>
      </c>
      <c r="H15" s="11">
        <v>0</v>
      </c>
      <c r="I15" s="11">
        <v>14</v>
      </c>
    </row>
    <row r="16" spans="1:9" ht="21">
      <c r="A16" s="10">
        <v>40673</v>
      </c>
      <c r="B16" s="11">
        <v>222</v>
      </c>
      <c r="C16" s="11">
        <v>0</v>
      </c>
      <c r="D16" s="11">
        <v>0</v>
      </c>
      <c r="E16" s="11">
        <v>0</v>
      </c>
      <c r="F16" s="11">
        <v>46</v>
      </c>
      <c r="G16" s="11">
        <v>0</v>
      </c>
      <c r="H16" s="11">
        <v>0</v>
      </c>
      <c r="I16" s="11">
        <v>10</v>
      </c>
    </row>
    <row r="17" spans="1:9" ht="21.75" customHeight="1">
      <c r="A17" s="8">
        <v>40674</v>
      </c>
      <c r="B17" s="11">
        <f>169+26</f>
        <v>195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</row>
    <row r="18" spans="1:9" ht="21.75" customHeight="1">
      <c r="A18" s="10">
        <v>40675</v>
      </c>
      <c r="B18" s="11">
        <v>89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8</v>
      </c>
    </row>
    <row r="19" spans="1:9" ht="21.75" customHeight="1">
      <c r="A19" s="8">
        <v>40676</v>
      </c>
      <c r="B19" s="11">
        <v>10</v>
      </c>
      <c r="C19" s="11">
        <v>12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46</v>
      </c>
    </row>
    <row r="20" spans="1:9" ht="21.75" customHeight="1">
      <c r="A20" s="10">
        <v>40677</v>
      </c>
      <c r="B20" s="11">
        <v>86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57</v>
      </c>
    </row>
    <row r="21" spans="1:9" ht="21.75" customHeight="1">
      <c r="A21" s="8">
        <v>40678</v>
      </c>
      <c r="B21" s="11">
        <v>0</v>
      </c>
      <c r="C21" s="11">
        <v>32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ht="21.75" customHeight="1">
      <c r="A22" s="10">
        <v>40679</v>
      </c>
      <c r="B22" s="11">
        <v>34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</row>
    <row r="23" spans="1:9" ht="21.75" customHeight="1">
      <c r="A23" s="8">
        <v>40680</v>
      </c>
      <c r="B23" s="11">
        <v>10</v>
      </c>
      <c r="C23" s="11">
        <v>0</v>
      </c>
      <c r="D23" s="11">
        <v>0</v>
      </c>
      <c r="E23" s="11">
        <v>18</v>
      </c>
      <c r="F23" s="11">
        <v>0</v>
      </c>
      <c r="G23" s="11">
        <v>0</v>
      </c>
      <c r="H23" s="11">
        <v>0</v>
      </c>
      <c r="I23" s="11">
        <v>0</v>
      </c>
    </row>
    <row r="24" spans="1:9" ht="21.75" customHeight="1">
      <c r="A24" s="10">
        <v>40681</v>
      </c>
      <c r="B24" s="11">
        <v>2</v>
      </c>
      <c r="C24" s="11">
        <v>0</v>
      </c>
      <c r="D24" s="11">
        <v>28</v>
      </c>
      <c r="E24" s="11">
        <v>0</v>
      </c>
      <c r="F24" s="11">
        <v>0</v>
      </c>
      <c r="G24" s="11">
        <v>0</v>
      </c>
      <c r="H24" s="11">
        <v>45</v>
      </c>
      <c r="I24" s="11">
        <v>0</v>
      </c>
    </row>
    <row r="25" spans="1:9" ht="21.75" customHeight="1">
      <c r="A25" s="8">
        <v>40682</v>
      </c>
      <c r="B25" s="11">
        <v>44</v>
      </c>
      <c r="C25" s="11">
        <v>0</v>
      </c>
      <c r="D25" s="11">
        <v>85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ht="21.75" customHeight="1">
      <c r="A26" s="10">
        <v>40683</v>
      </c>
      <c r="B26" s="11">
        <v>0</v>
      </c>
      <c r="C26" s="11">
        <v>73</v>
      </c>
      <c r="D26" s="11">
        <v>0</v>
      </c>
      <c r="E26" s="11">
        <v>0</v>
      </c>
      <c r="F26" s="11">
        <v>0</v>
      </c>
      <c r="G26" s="11">
        <v>0</v>
      </c>
      <c r="H26" s="11">
        <v>69</v>
      </c>
      <c r="I26" s="11">
        <v>25</v>
      </c>
    </row>
    <row r="27" spans="1:9" ht="21.75" customHeight="1">
      <c r="A27" s="8">
        <v>40684</v>
      </c>
      <c r="B27" s="11">
        <v>20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2</v>
      </c>
    </row>
    <row r="28" spans="1:9" ht="21.75" customHeight="1">
      <c r="A28" s="10">
        <v>40685</v>
      </c>
      <c r="B28" s="11">
        <v>0</v>
      </c>
      <c r="C28" s="11">
        <v>0</v>
      </c>
      <c r="D28" s="11">
        <v>0</v>
      </c>
      <c r="E28" s="11">
        <v>45</v>
      </c>
      <c r="F28" s="11">
        <v>0</v>
      </c>
      <c r="G28" s="11">
        <v>0</v>
      </c>
      <c r="H28" s="11">
        <v>0</v>
      </c>
      <c r="I28" s="11">
        <v>0</v>
      </c>
    </row>
    <row r="29" spans="1:9" ht="21.75" customHeight="1">
      <c r="A29" s="8">
        <v>40686</v>
      </c>
      <c r="B29" s="11">
        <v>0</v>
      </c>
      <c r="C29" s="11">
        <v>90</v>
      </c>
      <c r="D29" s="11">
        <v>0</v>
      </c>
      <c r="E29" s="11">
        <v>32</v>
      </c>
      <c r="F29" s="11">
        <v>450</v>
      </c>
      <c r="G29" s="11">
        <v>0</v>
      </c>
      <c r="H29" s="11">
        <v>0</v>
      </c>
      <c r="I29" s="11">
        <v>0</v>
      </c>
    </row>
    <row r="30" spans="1:9" ht="21.75" customHeight="1">
      <c r="A30" s="10">
        <v>40687</v>
      </c>
      <c r="B30" s="11">
        <v>25</v>
      </c>
      <c r="C30" s="11">
        <v>0</v>
      </c>
      <c r="D30" s="11">
        <v>0</v>
      </c>
      <c r="E30" s="11">
        <v>0</v>
      </c>
      <c r="F30" s="11">
        <v>30</v>
      </c>
      <c r="G30" s="11">
        <v>0</v>
      </c>
      <c r="H30" s="11">
        <v>0</v>
      </c>
      <c r="I30" s="11">
        <v>0</v>
      </c>
    </row>
    <row r="31" spans="1:9" ht="21.75" customHeight="1">
      <c r="A31" s="8">
        <v>40688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</row>
    <row r="32" spans="1:9" ht="21.75" customHeight="1">
      <c r="A32" s="10">
        <v>40689</v>
      </c>
      <c r="B32" s="11">
        <v>39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5</v>
      </c>
    </row>
    <row r="33" spans="1:9" ht="21.75" customHeight="1">
      <c r="A33" s="8">
        <v>40690</v>
      </c>
      <c r="B33" s="11">
        <v>15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</row>
    <row r="34" spans="1:9" ht="21.75" customHeight="1">
      <c r="A34" s="10">
        <v>40691</v>
      </c>
      <c r="B34" s="11">
        <v>0</v>
      </c>
      <c r="C34" s="11">
        <v>15</v>
      </c>
      <c r="D34" s="11">
        <v>0</v>
      </c>
      <c r="E34" s="11">
        <v>8</v>
      </c>
      <c r="F34" s="11">
        <v>0</v>
      </c>
      <c r="G34" s="11">
        <v>0</v>
      </c>
      <c r="H34" s="11">
        <v>0</v>
      </c>
      <c r="I34" s="11">
        <v>0</v>
      </c>
    </row>
    <row r="35" spans="1:9" ht="21.75" customHeight="1">
      <c r="A35" s="8">
        <v>40692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</row>
    <row r="36" spans="1:9" ht="21.75" customHeight="1">
      <c r="A36" s="10">
        <v>40693</v>
      </c>
      <c r="B36" s="21">
        <v>6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3</v>
      </c>
      <c r="I36" s="21">
        <v>0</v>
      </c>
    </row>
    <row r="37" spans="1:9" ht="21.75" customHeight="1" thickBot="1">
      <c r="A37" s="10">
        <v>40694</v>
      </c>
      <c r="B37" s="26">
        <v>0</v>
      </c>
      <c r="C37" s="26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</row>
    <row r="38" spans="1:9" ht="21.75" customHeight="1" thickTop="1" thickBot="1">
      <c r="A38" s="13" t="s">
        <v>9</v>
      </c>
      <c r="B38" s="14">
        <f t="shared" ref="B38:I38" si="0">SUM(B7:B37)</f>
        <v>1935</v>
      </c>
      <c r="C38" s="14">
        <f t="shared" si="0"/>
        <v>296</v>
      </c>
      <c r="D38" s="14">
        <f t="shared" si="0"/>
        <v>508</v>
      </c>
      <c r="E38" s="14">
        <f t="shared" si="0"/>
        <v>328</v>
      </c>
      <c r="F38" s="14">
        <f t="shared" si="0"/>
        <v>556</v>
      </c>
      <c r="G38" s="14">
        <f t="shared" si="0"/>
        <v>0</v>
      </c>
      <c r="H38" s="14">
        <f t="shared" si="0"/>
        <v>119</v>
      </c>
      <c r="I38" s="14">
        <f t="shared" si="0"/>
        <v>167</v>
      </c>
    </row>
    <row r="39" spans="1:9" ht="21.75" customHeight="1" thickTop="1">
      <c r="A39" s="16"/>
      <c r="B39" s="17"/>
      <c r="C39" s="17"/>
      <c r="D39" s="17"/>
      <c r="E39" s="17"/>
      <c r="F39" s="17"/>
      <c r="G39" s="17"/>
      <c r="H39" s="17"/>
      <c r="I39" s="17"/>
    </row>
    <row r="40" spans="1:9" ht="21.75" customHeight="1" thickBot="1"/>
    <row r="41" spans="1:9" ht="31.5" customHeight="1" thickTop="1">
      <c r="A41" s="127" t="s">
        <v>0</v>
      </c>
      <c r="B41" s="127" t="s">
        <v>1</v>
      </c>
      <c r="C41" s="127" t="s">
        <v>2</v>
      </c>
      <c r="D41" s="127" t="s">
        <v>3</v>
      </c>
      <c r="E41" s="127" t="s">
        <v>4</v>
      </c>
      <c r="F41" s="127" t="s">
        <v>5</v>
      </c>
      <c r="G41" s="127" t="s">
        <v>6</v>
      </c>
      <c r="H41" s="127" t="s">
        <v>7</v>
      </c>
      <c r="I41" s="127" t="s">
        <v>8</v>
      </c>
    </row>
    <row r="42" spans="1:9" ht="31.5" customHeight="1" thickBot="1">
      <c r="A42" s="128"/>
      <c r="B42" s="128"/>
      <c r="C42" s="128"/>
      <c r="D42" s="128"/>
      <c r="E42" s="128"/>
      <c r="F42" s="128"/>
      <c r="G42" s="128"/>
      <c r="H42" s="128"/>
      <c r="I42" s="128"/>
    </row>
    <row r="43" spans="1:9" ht="21.75" thickTop="1">
      <c r="A43" s="8">
        <v>40634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 spans="1:9" ht="21">
      <c r="A44" s="10">
        <v>40635</v>
      </c>
      <c r="B44" s="11">
        <v>0</v>
      </c>
      <c r="C44" s="11">
        <v>0</v>
      </c>
      <c r="D44" s="11">
        <v>0</v>
      </c>
      <c r="E44" s="9">
        <v>0</v>
      </c>
      <c r="F44" s="11">
        <v>0</v>
      </c>
      <c r="G44" s="11">
        <v>0</v>
      </c>
      <c r="H44" s="11">
        <v>0</v>
      </c>
      <c r="I44" s="9">
        <v>0</v>
      </c>
    </row>
    <row r="45" spans="1:9" ht="21">
      <c r="A45" s="8">
        <v>40636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9">
        <v>0</v>
      </c>
    </row>
    <row r="46" spans="1:9" ht="21">
      <c r="A46" s="10">
        <v>40637</v>
      </c>
      <c r="B46" s="11">
        <v>20</v>
      </c>
      <c r="C46" s="11">
        <v>0</v>
      </c>
      <c r="D46" s="11">
        <v>0</v>
      </c>
      <c r="E46" s="11">
        <v>373</v>
      </c>
      <c r="F46" s="11">
        <v>0</v>
      </c>
      <c r="G46" s="11">
        <v>0</v>
      </c>
      <c r="H46" s="11">
        <v>0</v>
      </c>
      <c r="I46" s="11">
        <v>0</v>
      </c>
    </row>
    <row r="47" spans="1:9" ht="21">
      <c r="A47" s="8">
        <v>40638</v>
      </c>
      <c r="B47" s="11">
        <v>0</v>
      </c>
      <c r="C47" s="11">
        <v>25</v>
      </c>
      <c r="D47" s="11">
        <v>35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ht="21">
      <c r="A48" s="10">
        <v>40639</v>
      </c>
      <c r="B48" s="11">
        <v>10</v>
      </c>
      <c r="C48" s="11">
        <v>14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 spans="1:9" ht="21">
      <c r="A49" s="8">
        <v>40640</v>
      </c>
      <c r="B49" s="11">
        <v>0</v>
      </c>
      <c r="C49" s="11">
        <v>7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ht="21">
      <c r="A50" s="10">
        <v>40641</v>
      </c>
      <c r="B50" s="11">
        <v>0</v>
      </c>
      <c r="C50" s="11">
        <v>119</v>
      </c>
      <c r="D50" s="11">
        <v>0</v>
      </c>
      <c r="E50" s="11">
        <v>0</v>
      </c>
      <c r="F50" s="11">
        <v>0</v>
      </c>
      <c r="G50" s="11">
        <v>0</v>
      </c>
      <c r="H50" s="11">
        <v>2</v>
      </c>
      <c r="I50" s="11">
        <v>0</v>
      </c>
    </row>
    <row r="51" spans="1:9" ht="21">
      <c r="A51" s="8">
        <v>40642</v>
      </c>
      <c r="B51" s="11">
        <v>15</v>
      </c>
      <c r="C51" s="11">
        <v>20</v>
      </c>
      <c r="D51" s="11">
        <v>25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</row>
    <row r="52" spans="1:9" ht="21">
      <c r="A52" s="10">
        <v>40643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</row>
    <row r="53" spans="1:9" ht="21">
      <c r="A53" s="8">
        <v>40644</v>
      </c>
      <c r="B53" s="11">
        <v>64</v>
      </c>
      <c r="C53" s="11">
        <v>4</v>
      </c>
      <c r="D53" s="11">
        <v>0</v>
      </c>
      <c r="E53" s="11">
        <v>0</v>
      </c>
      <c r="F53" s="11">
        <v>17</v>
      </c>
      <c r="G53" s="11">
        <v>17</v>
      </c>
      <c r="H53" s="11">
        <v>0</v>
      </c>
      <c r="I53" s="11">
        <v>45</v>
      </c>
    </row>
    <row r="54" spans="1:9" ht="21">
      <c r="A54" s="10">
        <v>40645</v>
      </c>
      <c r="B54" s="11">
        <v>2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</row>
    <row r="55" spans="1:9" ht="21">
      <c r="A55" s="8">
        <v>40646</v>
      </c>
      <c r="B55" s="11">
        <v>5</v>
      </c>
      <c r="C55" s="11">
        <v>0</v>
      </c>
      <c r="D55" s="11">
        <v>0</v>
      </c>
      <c r="E55" s="11">
        <v>0</v>
      </c>
      <c r="F55" s="11">
        <v>47</v>
      </c>
      <c r="G55" s="11">
        <v>0</v>
      </c>
      <c r="H55" s="11">
        <v>56</v>
      </c>
      <c r="I55" s="11">
        <v>0</v>
      </c>
    </row>
    <row r="56" spans="1:9" ht="21">
      <c r="A56" s="10">
        <v>40647</v>
      </c>
      <c r="B56" s="11">
        <v>0</v>
      </c>
      <c r="C56" s="11">
        <v>5</v>
      </c>
      <c r="D56" s="11">
        <v>0</v>
      </c>
      <c r="E56" s="11">
        <v>19</v>
      </c>
      <c r="F56" s="11">
        <v>0</v>
      </c>
      <c r="G56" s="11">
        <v>60</v>
      </c>
      <c r="H56" s="11">
        <v>0</v>
      </c>
      <c r="I56" s="11">
        <v>3</v>
      </c>
    </row>
    <row r="57" spans="1:9" ht="21">
      <c r="A57" s="8">
        <v>40648</v>
      </c>
      <c r="B57" s="11">
        <v>69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44</v>
      </c>
    </row>
    <row r="58" spans="1:9" ht="21">
      <c r="A58" s="10">
        <v>40649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13</v>
      </c>
    </row>
    <row r="59" spans="1:9" ht="21">
      <c r="A59" s="8">
        <v>40650</v>
      </c>
      <c r="B59" s="11">
        <v>0</v>
      </c>
      <c r="C59" s="11">
        <v>45</v>
      </c>
      <c r="D59" s="11">
        <v>0</v>
      </c>
      <c r="E59" s="11">
        <v>60</v>
      </c>
      <c r="F59" s="11">
        <v>0</v>
      </c>
      <c r="G59" s="11">
        <v>0</v>
      </c>
      <c r="H59" s="11">
        <v>0</v>
      </c>
      <c r="I59" s="11">
        <v>0</v>
      </c>
    </row>
    <row r="60" spans="1:9" ht="21">
      <c r="A60" s="10">
        <v>40651</v>
      </c>
      <c r="B60" s="11">
        <v>19</v>
      </c>
      <c r="C60" s="11">
        <v>0</v>
      </c>
      <c r="D60" s="11">
        <v>15</v>
      </c>
      <c r="E60" s="11">
        <v>20</v>
      </c>
      <c r="F60" s="11">
        <v>8</v>
      </c>
      <c r="G60" s="11">
        <v>0</v>
      </c>
      <c r="H60" s="11">
        <v>0</v>
      </c>
      <c r="I60" s="11">
        <v>0</v>
      </c>
    </row>
    <row r="61" spans="1:9" ht="21">
      <c r="A61" s="8">
        <v>40652</v>
      </c>
      <c r="B61" s="11">
        <v>2</v>
      </c>
      <c r="C61" s="11">
        <v>0</v>
      </c>
      <c r="D61" s="11">
        <v>90</v>
      </c>
      <c r="E61" s="11">
        <v>0</v>
      </c>
      <c r="F61" s="11">
        <v>0</v>
      </c>
      <c r="G61" s="11">
        <v>0</v>
      </c>
      <c r="H61" s="11">
        <v>0</v>
      </c>
      <c r="I61" s="11">
        <v>25</v>
      </c>
    </row>
    <row r="62" spans="1:9" ht="21">
      <c r="A62" s="10">
        <v>40653</v>
      </c>
      <c r="B62" s="11">
        <v>14</v>
      </c>
      <c r="C62" s="11">
        <v>0</v>
      </c>
      <c r="D62" s="11">
        <v>0</v>
      </c>
      <c r="E62" s="11">
        <v>0</v>
      </c>
      <c r="F62" s="11">
        <v>120</v>
      </c>
      <c r="G62" s="11">
        <v>0</v>
      </c>
      <c r="H62" s="11">
        <v>12</v>
      </c>
      <c r="I62" s="11">
        <v>0</v>
      </c>
    </row>
    <row r="63" spans="1:9" ht="21">
      <c r="A63" s="8">
        <v>40654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</row>
    <row r="64" spans="1:9" ht="21">
      <c r="A64" s="10">
        <v>40655</v>
      </c>
      <c r="B64" s="11">
        <v>0</v>
      </c>
      <c r="C64" s="11">
        <v>450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 spans="1:9" ht="21">
      <c r="A65" s="8">
        <v>40656</v>
      </c>
      <c r="B65" s="11">
        <v>0</v>
      </c>
      <c r="C65" s="11">
        <v>0</v>
      </c>
      <c r="D65" s="11">
        <v>180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</row>
    <row r="66" spans="1:9" ht="21">
      <c r="A66" s="10">
        <v>40657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 spans="1:9" ht="21">
      <c r="A67" s="8">
        <v>40658</v>
      </c>
      <c r="B67" s="11">
        <v>17</v>
      </c>
      <c r="C67" s="11">
        <v>0</v>
      </c>
      <c r="D67" s="11">
        <v>44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</row>
    <row r="68" spans="1:9" ht="21">
      <c r="A68" s="10">
        <v>40659</v>
      </c>
      <c r="B68" s="11">
        <v>2</v>
      </c>
      <c r="C68" s="11">
        <v>0</v>
      </c>
      <c r="D68" s="11">
        <v>15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</row>
    <row r="69" spans="1:9" ht="21">
      <c r="A69" s="8">
        <v>40660</v>
      </c>
      <c r="B69" s="11">
        <v>24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</row>
    <row r="70" spans="1:9" ht="21">
      <c r="A70" s="10">
        <v>40661</v>
      </c>
      <c r="B70" s="11">
        <v>19</v>
      </c>
      <c r="C70" s="11">
        <v>0</v>
      </c>
      <c r="D70" s="11">
        <v>95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</row>
    <row r="71" spans="1:9" ht="21">
      <c r="A71" s="8">
        <v>40662</v>
      </c>
      <c r="B71" s="11">
        <v>15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</row>
    <row r="72" spans="1:9" ht="21.75" thickBot="1">
      <c r="A72" s="10">
        <v>40663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</row>
    <row r="73" spans="1:9" ht="24.75" thickTop="1" thickBot="1">
      <c r="A73" s="13" t="s">
        <v>9</v>
      </c>
      <c r="B73" s="14">
        <f t="shared" ref="B73:I73" si="1">SUM(B43:B72)</f>
        <v>297</v>
      </c>
      <c r="C73" s="14">
        <f t="shared" si="1"/>
        <v>689</v>
      </c>
      <c r="D73" s="14">
        <f t="shared" si="1"/>
        <v>499</v>
      </c>
      <c r="E73" s="14">
        <f t="shared" si="1"/>
        <v>472</v>
      </c>
      <c r="F73" s="14">
        <f t="shared" si="1"/>
        <v>192</v>
      </c>
      <c r="G73" s="14">
        <f t="shared" si="1"/>
        <v>77</v>
      </c>
      <c r="H73" s="14">
        <f t="shared" si="1"/>
        <v>70</v>
      </c>
      <c r="I73" s="14">
        <f t="shared" si="1"/>
        <v>130</v>
      </c>
    </row>
    <row r="74" spans="1:9" ht="24" thickTop="1">
      <c r="A74" s="16"/>
      <c r="B74" s="17"/>
      <c r="C74" s="17"/>
      <c r="D74" s="17"/>
      <c r="E74" s="17"/>
      <c r="F74" s="17"/>
      <c r="G74" s="17"/>
      <c r="H74" s="17"/>
      <c r="I74" s="17"/>
    </row>
    <row r="75" spans="1:9" ht="15.75" thickBot="1"/>
    <row r="76" spans="1:9" ht="15.75" thickTop="1">
      <c r="A76" s="127" t="s">
        <v>0</v>
      </c>
      <c r="B76" s="127" t="s">
        <v>1</v>
      </c>
      <c r="C76" s="127" t="s">
        <v>2</v>
      </c>
      <c r="D76" s="127" t="s">
        <v>3</v>
      </c>
      <c r="E76" s="127" t="s">
        <v>4</v>
      </c>
      <c r="F76" s="127" t="s">
        <v>5</v>
      </c>
      <c r="G76" s="127" t="s">
        <v>6</v>
      </c>
      <c r="H76" s="127" t="s">
        <v>7</v>
      </c>
      <c r="I76" s="127" t="s">
        <v>8</v>
      </c>
    </row>
    <row r="77" spans="1:9" ht="24" customHeight="1" thickBot="1">
      <c r="A77" s="128"/>
      <c r="B77" s="128"/>
      <c r="C77" s="128"/>
      <c r="D77" s="128"/>
      <c r="E77" s="128"/>
      <c r="F77" s="128"/>
      <c r="G77" s="128"/>
      <c r="H77" s="128"/>
      <c r="I77" s="128"/>
    </row>
    <row r="78" spans="1:9" ht="24" customHeight="1" thickTop="1">
      <c r="A78" s="8">
        <v>40603</v>
      </c>
      <c r="B78" s="9">
        <v>0</v>
      </c>
      <c r="C78" s="9">
        <v>10</v>
      </c>
      <c r="D78" s="9">
        <v>0</v>
      </c>
      <c r="E78" s="9">
        <v>0</v>
      </c>
      <c r="F78" s="9">
        <v>237</v>
      </c>
      <c r="G78" s="9">
        <v>15</v>
      </c>
      <c r="H78" s="9">
        <v>0</v>
      </c>
      <c r="I78" s="9">
        <v>0</v>
      </c>
    </row>
    <row r="79" spans="1:9" ht="21">
      <c r="A79" s="10">
        <v>40604</v>
      </c>
      <c r="B79" s="11">
        <v>4</v>
      </c>
      <c r="C79" s="11">
        <v>0</v>
      </c>
      <c r="D79" s="11">
        <v>0</v>
      </c>
      <c r="E79" s="9">
        <v>30</v>
      </c>
      <c r="F79" s="11">
        <v>0</v>
      </c>
      <c r="G79" s="11">
        <v>15</v>
      </c>
      <c r="H79" s="11">
        <v>0</v>
      </c>
      <c r="I79" s="9">
        <v>0</v>
      </c>
    </row>
    <row r="80" spans="1:9" ht="21">
      <c r="A80" s="10">
        <v>40605</v>
      </c>
      <c r="B80" s="11">
        <v>17</v>
      </c>
      <c r="C80" s="11">
        <v>560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9">
        <v>0</v>
      </c>
    </row>
    <row r="81" spans="1:9" ht="25.5" customHeight="1">
      <c r="A81" s="10">
        <v>40606</v>
      </c>
      <c r="B81" s="11">
        <v>4</v>
      </c>
      <c r="C81" s="11">
        <v>0</v>
      </c>
      <c r="D81" s="11">
        <v>0</v>
      </c>
      <c r="E81" s="11">
        <v>35</v>
      </c>
      <c r="F81" s="11">
        <v>0</v>
      </c>
      <c r="G81" s="11">
        <v>36</v>
      </c>
      <c r="H81" s="11">
        <v>0</v>
      </c>
      <c r="I81" s="11">
        <v>0</v>
      </c>
    </row>
    <row r="82" spans="1:9" ht="21">
      <c r="A82" s="10">
        <v>40607</v>
      </c>
      <c r="B82" s="11">
        <v>10</v>
      </c>
      <c r="C82" s="11">
        <v>25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 spans="1:9" ht="21">
      <c r="A83" s="10">
        <v>40608</v>
      </c>
      <c r="B83" s="11">
        <v>0</v>
      </c>
      <c r="C83" s="11">
        <v>18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</row>
    <row r="84" spans="1:9" ht="21">
      <c r="A84" s="10">
        <v>40609</v>
      </c>
      <c r="B84" s="11">
        <v>0</v>
      </c>
      <c r="C84" s="11">
        <v>0</v>
      </c>
      <c r="D84" s="11">
        <v>57</v>
      </c>
      <c r="E84" s="11">
        <v>60</v>
      </c>
      <c r="F84" s="11">
        <v>0</v>
      </c>
      <c r="G84" s="11">
        <v>90</v>
      </c>
      <c r="H84" s="11">
        <v>0</v>
      </c>
      <c r="I84" s="11">
        <v>9</v>
      </c>
    </row>
    <row r="85" spans="1:9" ht="21">
      <c r="A85" s="10">
        <v>40610</v>
      </c>
      <c r="B85" s="11">
        <v>29</v>
      </c>
      <c r="C85" s="11">
        <v>0</v>
      </c>
      <c r="D85" s="11">
        <v>30</v>
      </c>
      <c r="E85" s="11">
        <v>23</v>
      </c>
      <c r="F85" s="11">
        <v>0</v>
      </c>
      <c r="G85" s="11">
        <v>210</v>
      </c>
      <c r="H85" s="11">
        <v>0</v>
      </c>
      <c r="I85" s="11">
        <v>0</v>
      </c>
    </row>
    <row r="86" spans="1:9" ht="21">
      <c r="A86" s="10">
        <v>40611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 spans="1:9" ht="21">
      <c r="A87" s="10">
        <v>40612</v>
      </c>
      <c r="B87" s="11">
        <v>2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8</v>
      </c>
    </row>
    <row r="88" spans="1:9" ht="21">
      <c r="A88" s="10">
        <v>40613</v>
      </c>
      <c r="B88" s="11">
        <v>2</v>
      </c>
      <c r="C88" s="11">
        <v>190</v>
      </c>
      <c r="D88" s="11">
        <v>0</v>
      </c>
      <c r="E88" s="11">
        <v>57</v>
      </c>
      <c r="F88" s="11">
        <v>0</v>
      </c>
      <c r="G88" s="11">
        <v>0</v>
      </c>
      <c r="H88" s="11">
        <v>0</v>
      </c>
      <c r="I88" s="11">
        <v>20</v>
      </c>
    </row>
    <row r="89" spans="1:9" ht="21">
      <c r="A89" s="10">
        <v>40614</v>
      </c>
      <c r="B89" s="11">
        <v>0</v>
      </c>
      <c r="C89" s="11">
        <v>60</v>
      </c>
      <c r="D89" s="11">
        <v>0</v>
      </c>
      <c r="E89" s="11">
        <v>0</v>
      </c>
      <c r="F89" s="11">
        <v>60</v>
      </c>
      <c r="G89" s="11">
        <v>0</v>
      </c>
      <c r="H89" s="11">
        <v>0</v>
      </c>
      <c r="I89" s="11">
        <v>0</v>
      </c>
    </row>
    <row r="90" spans="1:9" ht="21">
      <c r="A90" s="10">
        <v>40615</v>
      </c>
      <c r="B90" s="11">
        <v>0</v>
      </c>
      <c r="C90" s="11">
        <v>0</v>
      </c>
      <c r="D90" s="11">
        <v>0</v>
      </c>
      <c r="E90" s="11">
        <v>0</v>
      </c>
      <c r="F90" s="11">
        <v>120</v>
      </c>
      <c r="G90" s="11">
        <v>0</v>
      </c>
      <c r="H90" s="11">
        <v>0</v>
      </c>
      <c r="I90" s="11">
        <v>0</v>
      </c>
    </row>
    <row r="91" spans="1:9" ht="21">
      <c r="A91" s="10">
        <v>40616</v>
      </c>
      <c r="B91" s="11">
        <v>0</v>
      </c>
      <c r="C91" s="11">
        <v>0</v>
      </c>
      <c r="D91" s="11">
        <v>0</v>
      </c>
      <c r="E91" s="11">
        <v>0</v>
      </c>
      <c r="F91" s="11">
        <v>93</v>
      </c>
      <c r="G91" s="11">
        <v>0</v>
      </c>
      <c r="H91" s="11">
        <v>0</v>
      </c>
      <c r="I91" s="11">
        <v>0</v>
      </c>
    </row>
    <row r="92" spans="1:9" ht="21">
      <c r="A92" s="10">
        <v>40617</v>
      </c>
      <c r="B92" s="11">
        <v>4</v>
      </c>
      <c r="C92" s="11">
        <v>10</v>
      </c>
      <c r="D92" s="11">
        <v>0</v>
      </c>
      <c r="E92" s="11">
        <v>0</v>
      </c>
      <c r="F92" s="11">
        <v>0</v>
      </c>
      <c r="G92" s="11">
        <v>0</v>
      </c>
      <c r="H92" s="11">
        <v>10</v>
      </c>
      <c r="I92" s="11">
        <v>0</v>
      </c>
    </row>
    <row r="93" spans="1:9" ht="21">
      <c r="A93" s="10">
        <v>40618</v>
      </c>
      <c r="B93" s="11">
        <v>2</v>
      </c>
      <c r="C93" s="11">
        <v>10</v>
      </c>
      <c r="D93" s="11">
        <v>0</v>
      </c>
      <c r="E93" s="11">
        <v>100</v>
      </c>
      <c r="F93" s="11">
        <v>0</v>
      </c>
      <c r="G93" s="11">
        <v>0</v>
      </c>
      <c r="H93" s="11">
        <v>0</v>
      </c>
      <c r="I93" s="11">
        <v>5</v>
      </c>
    </row>
    <row r="94" spans="1:9" ht="21">
      <c r="A94" s="10">
        <v>40619</v>
      </c>
      <c r="B94" s="11">
        <v>0</v>
      </c>
      <c r="C94" s="11">
        <v>0</v>
      </c>
      <c r="D94" s="11">
        <v>0</v>
      </c>
      <c r="E94" s="11">
        <v>10</v>
      </c>
      <c r="F94" s="11">
        <v>0</v>
      </c>
      <c r="G94" s="11">
        <v>0</v>
      </c>
      <c r="H94" s="11">
        <v>13</v>
      </c>
      <c r="I94" s="11">
        <v>1</v>
      </c>
    </row>
    <row r="95" spans="1:9" ht="21">
      <c r="A95" s="10">
        <v>40620</v>
      </c>
      <c r="B95" s="11">
        <v>8</v>
      </c>
      <c r="C95" s="11">
        <v>22</v>
      </c>
      <c r="D95" s="11">
        <v>124</v>
      </c>
      <c r="E95" s="11">
        <v>17</v>
      </c>
      <c r="F95" s="11">
        <v>0</v>
      </c>
      <c r="G95" s="11">
        <v>80</v>
      </c>
      <c r="H95" s="11">
        <v>0</v>
      </c>
      <c r="I95" s="11">
        <v>0</v>
      </c>
    </row>
    <row r="96" spans="1:9" ht="21">
      <c r="A96" s="10">
        <v>40621</v>
      </c>
      <c r="B96" s="11">
        <v>0</v>
      </c>
      <c r="C96" s="11">
        <v>8</v>
      </c>
      <c r="D96" s="11">
        <v>30</v>
      </c>
      <c r="E96" s="11">
        <v>0</v>
      </c>
      <c r="F96" s="11">
        <v>0</v>
      </c>
      <c r="G96" s="11">
        <v>0</v>
      </c>
      <c r="H96" s="11">
        <v>0</v>
      </c>
      <c r="I96" s="11">
        <v>8</v>
      </c>
    </row>
    <row r="97" spans="1:9" ht="21">
      <c r="A97" s="10">
        <v>40622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</row>
    <row r="98" spans="1:9" ht="21">
      <c r="A98" s="10">
        <v>40623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 spans="1:9" ht="21">
      <c r="A99" s="10">
        <v>40624</v>
      </c>
      <c r="B99" s="11">
        <v>0</v>
      </c>
      <c r="C99" s="11">
        <v>77</v>
      </c>
      <c r="D99" s="11">
        <v>0</v>
      </c>
      <c r="E99" s="11">
        <v>0</v>
      </c>
      <c r="F99" s="11">
        <v>0</v>
      </c>
      <c r="G99" s="11">
        <v>50</v>
      </c>
      <c r="H99" s="11">
        <v>0</v>
      </c>
      <c r="I99" s="11">
        <v>0</v>
      </c>
    </row>
    <row r="100" spans="1:9" ht="21">
      <c r="A100" s="10">
        <v>40625</v>
      </c>
      <c r="B100" s="11">
        <v>5</v>
      </c>
      <c r="C100" s="11">
        <v>20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5</v>
      </c>
    </row>
    <row r="101" spans="1:9" ht="21">
      <c r="A101" s="10">
        <v>40626</v>
      </c>
      <c r="B101" s="11">
        <v>2</v>
      </c>
      <c r="C101" s="11">
        <v>0</v>
      </c>
      <c r="D101" s="11">
        <v>0</v>
      </c>
      <c r="E101" s="11">
        <v>15</v>
      </c>
      <c r="F101" s="11">
        <v>0</v>
      </c>
      <c r="G101" s="11">
        <v>0</v>
      </c>
      <c r="H101" s="11">
        <v>0</v>
      </c>
      <c r="I101" s="11">
        <v>0</v>
      </c>
    </row>
    <row r="102" spans="1:9" ht="21">
      <c r="A102" s="10">
        <v>40627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20</v>
      </c>
      <c r="H102" s="11">
        <v>0</v>
      </c>
      <c r="I102" s="11">
        <v>0</v>
      </c>
    </row>
    <row r="103" spans="1:9" ht="21">
      <c r="A103" s="10">
        <v>40628</v>
      </c>
      <c r="B103" s="11">
        <v>4</v>
      </c>
      <c r="C103" s="11">
        <v>0</v>
      </c>
      <c r="D103" s="11">
        <v>0</v>
      </c>
      <c r="E103" s="11">
        <v>60</v>
      </c>
      <c r="F103" s="11">
        <v>0</v>
      </c>
      <c r="G103" s="11">
        <v>0</v>
      </c>
      <c r="H103" s="11">
        <v>0</v>
      </c>
      <c r="I103" s="11">
        <v>13</v>
      </c>
    </row>
    <row r="104" spans="1:9" ht="21">
      <c r="A104" s="10">
        <v>40629</v>
      </c>
      <c r="B104" s="11">
        <v>0</v>
      </c>
      <c r="C104" s="11">
        <v>0</v>
      </c>
      <c r="D104" s="11">
        <v>0</v>
      </c>
      <c r="E104" s="11">
        <v>45</v>
      </c>
      <c r="F104" s="11">
        <v>0</v>
      </c>
      <c r="G104" s="11">
        <v>0</v>
      </c>
      <c r="H104" s="11">
        <v>0</v>
      </c>
      <c r="I104" s="11">
        <v>0</v>
      </c>
    </row>
    <row r="105" spans="1:9" ht="21">
      <c r="A105" s="10">
        <v>40630</v>
      </c>
      <c r="B105" s="11">
        <v>2</v>
      </c>
      <c r="C105" s="11">
        <v>0</v>
      </c>
      <c r="D105" s="11">
        <v>0</v>
      </c>
      <c r="E105" s="11">
        <v>0</v>
      </c>
      <c r="F105" s="11">
        <v>25</v>
      </c>
      <c r="G105" s="11">
        <v>0</v>
      </c>
      <c r="H105" s="11">
        <v>6</v>
      </c>
      <c r="I105" s="11">
        <v>42</v>
      </c>
    </row>
    <row r="106" spans="1:9" ht="21">
      <c r="A106" s="10">
        <v>40631</v>
      </c>
      <c r="B106" s="11">
        <v>8</v>
      </c>
      <c r="C106" s="11">
        <v>0</v>
      </c>
      <c r="D106" s="11">
        <v>0</v>
      </c>
      <c r="E106" s="11">
        <v>20</v>
      </c>
      <c r="F106" s="11">
        <v>0</v>
      </c>
      <c r="G106" s="11">
        <v>53</v>
      </c>
      <c r="H106" s="11">
        <v>0</v>
      </c>
      <c r="I106" s="11">
        <v>0</v>
      </c>
    </row>
    <row r="107" spans="1:9" ht="21">
      <c r="A107" s="10">
        <v>40632</v>
      </c>
      <c r="B107" s="11">
        <v>5</v>
      </c>
      <c r="C107" s="11">
        <v>40</v>
      </c>
      <c r="D107" s="11">
        <v>0</v>
      </c>
      <c r="E107" s="11">
        <v>0</v>
      </c>
      <c r="F107" s="11">
        <v>0</v>
      </c>
      <c r="G107" s="11">
        <v>20</v>
      </c>
      <c r="H107" s="11">
        <v>0</v>
      </c>
      <c r="I107" s="11">
        <v>0</v>
      </c>
    </row>
    <row r="108" spans="1:9" ht="21.75" thickBot="1">
      <c r="A108" s="10">
        <v>40633</v>
      </c>
      <c r="B108" s="12">
        <v>0</v>
      </c>
      <c r="C108" s="12">
        <v>5</v>
      </c>
      <c r="D108" s="12">
        <v>0</v>
      </c>
      <c r="E108" s="12">
        <v>14</v>
      </c>
      <c r="F108" s="12">
        <v>0</v>
      </c>
      <c r="G108" s="12">
        <v>0</v>
      </c>
      <c r="H108" s="12">
        <v>0</v>
      </c>
      <c r="I108" s="12">
        <v>0</v>
      </c>
    </row>
    <row r="109" spans="1:9" ht="24.75" thickTop="1" thickBot="1">
      <c r="A109" s="13" t="s">
        <v>9</v>
      </c>
      <c r="B109" s="14">
        <f t="shared" ref="B109:I109" si="2">SUM(B78:B108)</f>
        <v>108</v>
      </c>
      <c r="C109" s="14">
        <f>SUM(C78:C108)</f>
        <v>1055</v>
      </c>
      <c r="D109" s="14">
        <f t="shared" si="2"/>
        <v>241</v>
      </c>
      <c r="E109" s="14">
        <f t="shared" si="2"/>
        <v>486</v>
      </c>
      <c r="F109" s="14">
        <f t="shared" si="2"/>
        <v>535</v>
      </c>
      <c r="G109" s="14">
        <f t="shared" si="2"/>
        <v>589</v>
      </c>
      <c r="H109" s="14">
        <f t="shared" si="2"/>
        <v>29</v>
      </c>
      <c r="I109" s="14">
        <f t="shared" si="2"/>
        <v>111</v>
      </c>
    </row>
    <row r="110" spans="1:9" ht="24" thickTop="1">
      <c r="A110" s="16"/>
      <c r="B110" s="17"/>
      <c r="C110" s="17"/>
      <c r="D110" s="17"/>
      <c r="E110" s="17"/>
      <c r="F110" s="17"/>
      <c r="G110" s="17"/>
      <c r="H110" s="17"/>
      <c r="I110" s="17"/>
    </row>
    <row r="111" spans="1:9" ht="15.75" thickBot="1"/>
    <row r="112" spans="1:9" ht="15.75" thickTop="1">
      <c r="A112" s="127" t="s">
        <v>0</v>
      </c>
      <c r="B112" s="127" t="s">
        <v>1</v>
      </c>
      <c r="C112" s="127" t="s">
        <v>2</v>
      </c>
      <c r="D112" s="127" t="s">
        <v>3</v>
      </c>
      <c r="E112" s="127" t="s">
        <v>4</v>
      </c>
      <c r="F112" s="127" t="s">
        <v>5</v>
      </c>
      <c r="G112" s="127" t="s">
        <v>6</v>
      </c>
      <c r="H112" s="127" t="s">
        <v>7</v>
      </c>
      <c r="I112" s="127" t="s">
        <v>8</v>
      </c>
    </row>
    <row r="113" spans="1:9" ht="15.75" thickBot="1">
      <c r="A113" s="128"/>
      <c r="B113" s="128"/>
      <c r="C113" s="128"/>
      <c r="D113" s="128"/>
      <c r="E113" s="128"/>
      <c r="F113" s="128"/>
      <c r="G113" s="128"/>
      <c r="H113" s="128"/>
      <c r="I113" s="128"/>
    </row>
    <row r="114" spans="1:9" ht="21.75" thickTop="1">
      <c r="A114" s="8">
        <v>40575</v>
      </c>
      <c r="B114" s="9">
        <v>70</v>
      </c>
      <c r="C114" s="9">
        <v>19</v>
      </c>
      <c r="D114" s="9">
        <v>0</v>
      </c>
      <c r="E114" s="9">
        <v>0</v>
      </c>
      <c r="F114" s="9">
        <v>20</v>
      </c>
      <c r="G114" s="9">
        <v>0</v>
      </c>
      <c r="H114" s="9">
        <v>0</v>
      </c>
      <c r="I114" s="9">
        <v>0</v>
      </c>
    </row>
    <row r="115" spans="1:9" ht="21">
      <c r="A115" s="10">
        <v>40576</v>
      </c>
      <c r="B115" s="11">
        <v>0</v>
      </c>
      <c r="C115" s="11">
        <v>0</v>
      </c>
      <c r="D115" s="11">
        <v>65</v>
      </c>
      <c r="E115" s="9">
        <v>0</v>
      </c>
      <c r="F115" s="11">
        <v>0</v>
      </c>
      <c r="G115" s="11">
        <v>0</v>
      </c>
      <c r="H115" s="11">
        <v>0</v>
      </c>
      <c r="I115" s="9">
        <v>0</v>
      </c>
    </row>
    <row r="116" spans="1:9" ht="21">
      <c r="A116" s="10">
        <v>40577</v>
      </c>
      <c r="B116" s="11">
        <v>17</v>
      </c>
      <c r="C116" s="11">
        <v>30</v>
      </c>
      <c r="D116" s="11">
        <v>15</v>
      </c>
      <c r="E116" s="11">
        <v>0</v>
      </c>
      <c r="F116" s="11">
        <v>29</v>
      </c>
      <c r="G116" s="11">
        <v>0</v>
      </c>
      <c r="H116" s="11">
        <v>0</v>
      </c>
      <c r="I116" s="9">
        <v>0</v>
      </c>
    </row>
    <row r="117" spans="1:9" ht="21">
      <c r="A117" s="10">
        <v>40578</v>
      </c>
      <c r="B117" s="11">
        <v>193</v>
      </c>
      <c r="C117" s="11">
        <v>9</v>
      </c>
      <c r="D117" s="11">
        <v>50</v>
      </c>
      <c r="E117" s="11">
        <v>10</v>
      </c>
      <c r="F117" s="11">
        <v>0</v>
      </c>
      <c r="G117" s="11">
        <v>0</v>
      </c>
      <c r="H117" s="11">
        <v>0</v>
      </c>
      <c r="I117" s="11">
        <v>0</v>
      </c>
    </row>
    <row r="118" spans="1:9" ht="21">
      <c r="A118" s="10">
        <v>40579</v>
      </c>
      <c r="B118" s="11">
        <v>2</v>
      </c>
      <c r="C118" s="11">
        <v>0</v>
      </c>
      <c r="D118" s="11">
        <v>0</v>
      </c>
      <c r="E118" s="11">
        <v>0</v>
      </c>
      <c r="F118" s="11">
        <v>0</v>
      </c>
      <c r="G118" s="11">
        <v>15</v>
      </c>
      <c r="H118" s="11">
        <v>0</v>
      </c>
      <c r="I118" s="11">
        <v>0</v>
      </c>
    </row>
    <row r="119" spans="1:9" ht="21">
      <c r="A119" s="10">
        <v>40580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</row>
    <row r="120" spans="1:9" ht="15.75" customHeight="1">
      <c r="A120" s="10">
        <v>40581</v>
      </c>
      <c r="B120" s="11">
        <v>0</v>
      </c>
      <c r="C120" s="11">
        <v>0</v>
      </c>
      <c r="D120" s="11">
        <v>200</v>
      </c>
      <c r="E120" s="11">
        <v>15</v>
      </c>
      <c r="F120" s="11">
        <v>0</v>
      </c>
      <c r="G120" s="11">
        <v>0</v>
      </c>
      <c r="H120" s="11">
        <v>0</v>
      </c>
      <c r="I120" s="11">
        <v>0</v>
      </c>
    </row>
    <row r="121" spans="1:9" ht="21">
      <c r="A121" s="10">
        <v>40582</v>
      </c>
      <c r="B121" s="11">
        <v>0</v>
      </c>
      <c r="C121" s="11">
        <v>10</v>
      </c>
      <c r="D121" s="11">
        <v>0</v>
      </c>
      <c r="E121" s="11">
        <v>0</v>
      </c>
      <c r="F121" s="11">
        <v>17</v>
      </c>
      <c r="G121" s="11">
        <v>25</v>
      </c>
      <c r="H121" s="11">
        <v>0</v>
      </c>
      <c r="I121" s="11">
        <v>70</v>
      </c>
    </row>
    <row r="122" spans="1:9" ht="21">
      <c r="A122" s="10">
        <v>40583</v>
      </c>
      <c r="B122" s="11">
        <v>10</v>
      </c>
      <c r="C122" s="11">
        <v>0</v>
      </c>
      <c r="D122" s="11">
        <v>20</v>
      </c>
      <c r="E122" s="11">
        <v>180</v>
      </c>
      <c r="F122" s="11">
        <v>0</v>
      </c>
      <c r="G122" s="11">
        <v>40</v>
      </c>
      <c r="H122" s="11">
        <v>0</v>
      </c>
      <c r="I122" s="11">
        <v>0</v>
      </c>
    </row>
    <row r="123" spans="1:9" ht="21">
      <c r="A123" s="10">
        <v>40584</v>
      </c>
      <c r="B123" s="11">
        <v>5</v>
      </c>
      <c r="C123" s="11">
        <v>0</v>
      </c>
      <c r="D123" s="11">
        <v>0</v>
      </c>
      <c r="E123" s="11">
        <v>90</v>
      </c>
      <c r="F123" s="11">
        <v>40</v>
      </c>
      <c r="G123" s="11">
        <v>0</v>
      </c>
      <c r="H123" s="11">
        <v>0</v>
      </c>
      <c r="I123" s="11">
        <v>0</v>
      </c>
    </row>
    <row r="124" spans="1:9" ht="21">
      <c r="A124" s="10">
        <v>40585</v>
      </c>
      <c r="B124" s="11">
        <v>0</v>
      </c>
      <c r="C124" s="11">
        <v>12</v>
      </c>
      <c r="D124" s="11">
        <v>25</v>
      </c>
      <c r="E124" s="11">
        <v>0</v>
      </c>
      <c r="F124" s="11">
        <v>0</v>
      </c>
      <c r="G124" s="11">
        <v>510</v>
      </c>
      <c r="H124" s="11">
        <v>0</v>
      </c>
      <c r="I124" s="11">
        <v>0</v>
      </c>
    </row>
    <row r="125" spans="1:9" ht="21">
      <c r="A125" s="10">
        <v>40586</v>
      </c>
      <c r="B125" s="11">
        <v>20</v>
      </c>
      <c r="C125" s="11">
        <v>12</v>
      </c>
      <c r="D125" s="11">
        <v>20</v>
      </c>
      <c r="E125" s="11">
        <v>0</v>
      </c>
      <c r="F125" s="11">
        <v>0</v>
      </c>
      <c r="G125" s="11">
        <v>60</v>
      </c>
      <c r="H125" s="11">
        <v>0</v>
      </c>
      <c r="I125" s="11">
        <v>0</v>
      </c>
    </row>
    <row r="126" spans="1:9" ht="21">
      <c r="A126" s="10">
        <v>40587</v>
      </c>
      <c r="B126" s="11">
        <v>0</v>
      </c>
      <c r="C126" s="11">
        <v>0</v>
      </c>
      <c r="D126" s="11">
        <v>0</v>
      </c>
      <c r="E126" s="11">
        <v>0</v>
      </c>
      <c r="F126" s="11">
        <v>60</v>
      </c>
      <c r="G126" s="11">
        <v>0</v>
      </c>
      <c r="H126" s="11">
        <v>0</v>
      </c>
      <c r="I126" s="11">
        <v>0</v>
      </c>
    </row>
    <row r="127" spans="1:9" ht="21">
      <c r="A127" s="10">
        <v>40588</v>
      </c>
      <c r="B127" s="11">
        <v>3</v>
      </c>
      <c r="C127" s="11">
        <v>0</v>
      </c>
      <c r="D127" s="11">
        <v>0</v>
      </c>
      <c r="E127" s="11">
        <v>0</v>
      </c>
      <c r="F127" s="11">
        <v>0</v>
      </c>
      <c r="G127" s="11">
        <v>25</v>
      </c>
      <c r="H127" s="11">
        <v>0</v>
      </c>
      <c r="I127" s="11">
        <v>0</v>
      </c>
    </row>
    <row r="128" spans="1:9" ht="21">
      <c r="A128" s="10">
        <v>40589</v>
      </c>
      <c r="B128" s="11">
        <v>11</v>
      </c>
      <c r="C128" s="11">
        <v>20</v>
      </c>
      <c r="D128" s="11">
        <v>0</v>
      </c>
      <c r="E128" s="11">
        <v>200</v>
      </c>
      <c r="F128" s="11">
        <v>75</v>
      </c>
      <c r="G128" s="11">
        <v>0</v>
      </c>
      <c r="H128" s="11">
        <v>0</v>
      </c>
      <c r="I128" s="11">
        <v>12</v>
      </c>
    </row>
    <row r="129" spans="1:9" ht="21">
      <c r="A129" s="10">
        <v>40590</v>
      </c>
      <c r="B129" s="11">
        <v>2</v>
      </c>
      <c r="C129" s="11">
        <v>15</v>
      </c>
      <c r="D129" s="11">
        <v>0</v>
      </c>
      <c r="E129" s="11">
        <v>0</v>
      </c>
      <c r="F129" s="11">
        <v>0</v>
      </c>
      <c r="G129" s="11">
        <v>30</v>
      </c>
      <c r="H129" s="11">
        <v>0</v>
      </c>
      <c r="I129" s="11">
        <v>0</v>
      </c>
    </row>
    <row r="130" spans="1:9" ht="21">
      <c r="A130" s="10">
        <v>40591</v>
      </c>
      <c r="B130" s="11">
        <v>2</v>
      </c>
      <c r="C130" s="11">
        <v>0</v>
      </c>
      <c r="D130" s="11">
        <v>15</v>
      </c>
      <c r="E130" s="11">
        <v>130</v>
      </c>
      <c r="F130" s="11">
        <v>0</v>
      </c>
      <c r="G130" s="11">
        <v>15</v>
      </c>
      <c r="H130" s="11">
        <v>0</v>
      </c>
      <c r="I130" s="11">
        <v>0</v>
      </c>
    </row>
    <row r="131" spans="1:9" ht="21">
      <c r="A131" s="10">
        <v>40592</v>
      </c>
      <c r="B131" s="11">
        <v>7</v>
      </c>
      <c r="C131" s="11">
        <v>0</v>
      </c>
      <c r="D131" s="11">
        <v>10</v>
      </c>
      <c r="E131" s="11">
        <v>50</v>
      </c>
      <c r="F131" s="11">
        <v>10</v>
      </c>
      <c r="G131" s="11">
        <v>0</v>
      </c>
      <c r="H131" s="11">
        <v>0</v>
      </c>
      <c r="I131" s="11">
        <v>0</v>
      </c>
    </row>
    <row r="132" spans="1:9" ht="21">
      <c r="A132" s="10">
        <v>40593</v>
      </c>
      <c r="B132" s="11">
        <v>0</v>
      </c>
      <c r="C132" s="11">
        <v>29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</row>
    <row r="133" spans="1:9" ht="21">
      <c r="A133" s="10">
        <v>40594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</row>
    <row r="134" spans="1:9" ht="21">
      <c r="A134" s="10">
        <v>40595</v>
      </c>
      <c r="B134" s="11">
        <v>0</v>
      </c>
      <c r="C134" s="11">
        <v>15</v>
      </c>
      <c r="D134" s="11">
        <v>21</v>
      </c>
      <c r="E134" s="11">
        <v>7</v>
      </c>
      <c r="F134" s="11">
        <v>0</v>
      </c>
      <c r="G134" s="11">
        <v>0</v>
      </c>
      <c r="H134" s="11">
        <v>0</v>
      </c>
      <c r="I134" s="11">
        <v>88</v>
      </c>
    </row>
    <row r="135" spans="1:9" ht="21">
      <c r="A135" s="10">
        <v>40596</v>
      </c>
      <c r="B135" s="11">
        <v>6</v>
      </c>
      <c r="C135" s="11">
        <v>0</v>
      </c>
      <c r="D135" s="11">
        <v>144</v>
      </c>
      <c r="E135" s="11">
        <v>0</v>
      </c>
      <c r="F135" s="11">
        <v>0</v>
      </c>
      <c r="G135" s="11">
        <v>15</v>
      </c>
      <c r="H135" s="11">
        <v>0</v>
      </c>
      <c r="I135" s="11">
        <v>0</v>
      </c>
    </row>
    <row r="136" spans="1:9" ht="21">
      <c r="A136" s="10">
        <v>40597</v>
      </c>
      <c r="B136" s="11">
        <v>1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72</v>
      </c>
    </row>
    <row r="137" spans="1:9" ht="21">
      <c r="A137" s="10">
        <v>40598</v>
      </c>
      <c r="B137" s="11">
        <v>3</v>
      </c>
      <c r="C137" s="11">
        <v>0</v>
      </c>
      <c r="D137" s="11">
        <v>55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</row>
    <row r="138" spans="1:9" ht="21">
      <c r="A138" s="10">
        <v>40599</v>
      </c>
      <c r="B138" s="11">
        <v>5</v>
      </c>
      <c r="C138" s="11">
        <v>20</v>
      </c>
      <c r="D138" s="11">
        <v>0</v>
      </c>
      <c r="E138" s="11">
        <v>15</v>
      </c>
      <c r="F138" s="11">
        <v>0</v>
      </c>
      <c r="G138" s="11">
        <v>24</v>
      </c>
      <c r="H138" s="11">
        <v>0</v>
      </c>
      <c r="I138" s="11">
        <v>0</v>
      </c>
    </row>
    <row r="139" spans="1:9" ht="21">
      <c r="A139" s="10">
        <v>40600</v>
      </c>
      <c r="B139" s="11">
        <v>4</v>
      </c>
      <c r="C139" s="11">
        <v>0</v>
      </c>
      <c r="D139" s="11">
        <v>0</v>
      </c>
      <c r="E139" s="11">
        <v>20</v>
      </c>
      <c r="F139" s="11">
        <v>0</v>
      </c>
      <c r="G139" s="11">
        <v>29</v>
      </c>
      <c r="H139" s="11">
        <v>0</v>
      </c>
      <c r="I139" s="11">
        <v>0</v>
      </c>
    </row>
    <row r="140" spans="1:9" ht="21">
      <c r="A140" s="10">
        <v>40601</v>
      </c>
      <c r="B140" s="11">
        <v>0</v>
      </c>
      <c r="C140" s="11">
        <v>0</v>
      </c>
      <c r="D140" s="11">
        <v>0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</row>
    <row r="141" spans="1:9" ht="21">
      <c r="A141" s="10">
        <v>40602</v>
      </c>
      <c r="B141" s="11">
        <v>8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</row>
    <row r="142" spans="1:9" ht="21">
      <c r="A142" s="8">
        <v>40572</v>
      </c>
      <c r="B142" s="11"/>
      <c r="C142" s="11"/>
      <c r="D142" s="11"/>
      <c r="E142" s="11"/>
      <c r="F142" s="11"/>
      <c r="G142" s="11"/>
      <c r="H142" s="11"/>
      <c r="I142" s="11"/>
    </row>
    <row r="143" spans="1:9" ht="21">
      <c r="A143" s="10">
        <v>40573</v>
      </c>
      <c r="B143" s="11"/>
      <c r="C143" s="11"/>
      <c r="D143" s="11"/>
      <c r="E143" s="11"/>
      <c r="F143" s="11"/>
      <c r="G143" s="11"/>
      <c r="H143" s="11"/>
      <c r="I143" s="11"/>
    </row>
    <row r="144" spans="1:9" ht="21.75" thickBot="1">
      <c r="A144" s="8">
        <v>40574</v>
      </c>
      <c r="B144" s="12"/>
      <c r="C144" s="12"/>
      <c r="D144" s="12"/>
      <c r="E144" s="12"/>
      <c r="F144" s="12"/>
      <c r="G144" s="12"/>
      <c r="H144" s="12"/>
      <c r="I144" s="12"/>
    </row>
    <row r="145" spans="1:9" ht="24.75" thickTop="1" thickBot="1">
      <c r="A145" s="13" t="s">
        <v>9</v>
      </c>
      <c r="B145" s="14">
        <f t="shared" ref="B145:I145" si="3">SUM(B114:B144)</f>
        <v>369</v>
      </c>
      <c r="C145" s="14">
        <f>SUM(C114:C144)</f>
        <v>191</v>
      </c>
      <c r="D145" s="14">
        <f t="shared" si="3"/>
        <v>640</v>
      </c>
      <c r="E145" s="14">
        <f t="shared" si="3"/>
        <v>717</v>
      </c>
      <c r="F145" s="14">
        <f t="shared" si="3"/>
        <v>251</v>
      </c>
      <c r="G145" s="14">
        <f t="shared" si="3"/>
        <v>788</v>
      </c>
      <c r="H145" s="14">
        <f t="shared" si="3"/>
        <v>0</v>
      </c>
      <c r="I145" s="14">
        <f t="shared" si="3"/>
        <v>242</v>
      </c>
    </row>
    <row r="146" spans="1:9" ht="24" thickTop="1">
      <c r="A146" s="16"/>
      <c r="B146" s="17"/>
      <c r="C146" s="17"/>
      <c r="D146" s="17"/>
      <c r="E146" s="17"/>
      <c r="F146" s="17"/>
      <c r="G146" s="17"/>
      <c r="H146" s="17"/>
      <c r="I146" s="17"/>
    </row>
    <row r="147" spans="1:9" ht="24" thickBot="1">
      <c r="A147" s="16"/>
      <c r="B147" s="17"/>
      <c r="C147" s="17"/>
      <c r="D147" s="17"/>
      <c r="E147" s="17"/>
      <c r="F147" s="17"/>
      <c r="G147" s="17"/>
      <c r="H147" s="17"/>
      <c r="I147" s="17"/>
    </row>
    <row r="148" spans="1:9" ht="15.75" thickTop="1">
      <c r="A148" s="129" t="s">
        <v>0</v>
      </c>
      <c r="B148" s="129" t="s">
        <v>1</v>
      </c>
      <c r="C148" s="129" t="s">
        <v>2</v>
      </c>
      <c r="D148" s="129" t="s">
        <v>10</v>
      </c>
      <c r="E148" s="129" t="s">
        <v>11</v>
      </c>
      <c r="F148" s="129" t="s">
        <v>12</v>
      </c>
      <c r="G148" s="129" t="s">
        <v>13</v>
      </c>
      <c r="H148" s="129" t="s">
        <v>14</v>
      </c>
      <c r="I148" s="129" t="s">
        <v>15</v>
      </c>
    </row>
    <row r="149" spans="1:9" ht="15.75" thickBot="1">
      <c r="A149" s="130"/>
      <c r="B149" s="130"/>
      <c r="C149" s="130"/>
      <c r="D149" s="130"/>
      <c r="E149" s="130"/>
      <c r="F149" s="130"/>
      <c r="G149" s="130"/>
      <c r="H149" s="130"/>
      <c r="I149" s="130"/>
    </row>
    <row r="150" spans="1:9" ht="21.75" thickTop="1">
      <c r="A150" s="18">
        <v>40544</v>
      </c>
      <c r="B150" s="19">
        <v>0</v>
      </c>
      <c r="C150" s="19">
        <v>0</v>
      </c>
      <c r="D150" s="19">
        <v>0</v>
      </c>
      <c r="E150" s="19">
        <v>25</v>
      </c>
      <c r="F150" s="19">
        <v>0</v>
      </c>
      <c r="G150" s="19">
        <v>0</v>
      </c>
      <c r="H150" s="19">
        <v>0</v>
      </c>
      <c r="I150" s="19">
        <v>0</v>
      </c>
    </row>
    <row r="151" spans="1:9" ht="21">
      <c r="A151" s="20">
        <v>40545</v>
      </c>
      <c r="B151" s="21">
        <v>24</v>
      </c>
      <c r="C151" s="21">
        <v>0</v>
      </c>
      <c r="D151" s="21">
        <v>0</v>
      </c>
      <c r="E151" s="19">
        <v>0</v>
      </c>
      <c r="F151" s="21">
        <v>0</v>
      </c>
      <c r="G151" s="21">
        <v>0</v>
      </c>
      <c r="H151" s="21">
        <v>0</v>
      </c>
      <c r="I151" s="19">
        <v>0</v>
      </c>
    </row>
    <row r="152" spans="1:9" ht="21">
      <c r="A152" s="18">
        <v>40546</v>
      </c>
      <c r="B152" s="21">
        <v>75</v>
      </c>
      <c r="C152" s="21">
        <v>0</v>
      </c>
      <c r="D152" s="21">
        <v>240</v>
      </c>
      <c r="E152" s="21">
        <v>0</v>
      </c>
      <c r="F152" s="21">
        <v>0</v>
      </c>
      <c r="G152" s="21">
        <v>13</v>
      </c>
      <c r="H152" s="21">
        <v>0</v>
      </c>
      <c r="I152" s="19">
        <v>0</v>
      </c>
    </row>
    <row r="153" spans="1:9" ht="21">
      <c r="A153" s="20">
        <v>40547</v>
      </c>
      <c r="B153" s="21">
        <v>14</v>
      </c>
      <c r="C153" s="21">
        <v>7</v>
      </c>
      <c r="D153" s="21">
        <v>15</v>
      </c>
      <c r="E153" s="21">
        <v>25</v>
      </c>
      <c r="F153" s="21">
        <v>0</v>
      </c>
      <c r="G153" s="21">
        <v>50</v>
      </c>
      <c r="H153" s="21">
        <v>0</v>
      </c>
      <c r="I153" s="21">
        <v>0</v>
      </c>
    </row>
    <row r="154" spans="1:9" ht="21">
      <c r="A154" s="18">
        <v>40548</v>
      </c>
      <c r="B154" s="21">
        <v>25</v>
      </c>
      <c r="C154" s="21">
        <v>0</v>
      </c>
      <c r="D154" s="21">
        <v>0</v>
      </c>
      <c r="E154" s="21">
        <v>45</v>
      </c>
      <c r="F154" s="21">
        <v>45</v>
      </c>
      <c r="G154" s="21">
        <v>25</v>
      </c>
      <c r="H154" s="21">
        <v>0</v>
      </c>
      <c r="I154" s="21">
        <v>58</v>
      </c>
    </row>
    <row r="155" spans="1:9" ht="21">
      <c r="A155" s="20">
        <v>40549</v>
      </c>
      <c r="B155" s="21">
        <v>0</v>
      </c>
      <c r="C155" s="21">
        <v>0</v>
      </c>
      <c r="D155" s="21">
        <v>0</v>
      </c>
      <c r="E155" s="21">
        <v>0</v>
      </c>
      <c r="F155" s="21">
        <v>60</v>
      </c>
      <c r="G155" s="21">
        <v>0</v>
      </c>
      <c r="H155" s="21">
        <v>0</v>
      </c>
      <c r="I155" s="21">
        <v>20</v>
      </c>
    </row>
    <row r="156" spans="1:9" ht="21">
      <c r="A156" s="18">
        <v>40550</v>
      </c>
      <c r="B156" s="21">
        <v>19</v>
      </c>
      <c r="C156" s="21">
        <v>30</v>
      </c>
      <c r="D156" s="21">
        <v>0</v>
      </c>
      <c r="E156" s="21">
        <v>0</v>
      </c>
      <c r="F156" s="21">
        <v>0</v>
      </c>
      <c r="G156" s="21">
        <v>58</v>
      </c>
      <c r="H156" s="21">
        <v>0</v>
      </c>
      <c r="I156" s="21">
        <v>3</v>
      </c>
    </row>
    <row r="157" spans="1:9" ht="21">
      <c r="A157" s="20">
        <v>40551</v>
      </c>
      <c r="B157" s="21">
        <v>0</v>
      </c>
      <c r="C157" s="21">
        <v>70</v>
      </c>
      <c r="D157" s="21">
        <v>157</v>
      </c>
      <c r="E157" s="21">
        <v>0</v>
      </c>
      <c r="F157" s="21">
        <v>0</v>
      </c>
      <c r="G157" s="21">
        <v>0</v>
      </c>
      <c r="H157" s="21">
        <v>0</v>
      </c>
      <c r="I157" s="21">
        <v>2</v>
      </c>
    </row>
    <row r="158" spans="1:9" ht="21">
      <c r="A158" s="18">
        <v>40552</v>
      </c>
      <c r="B158" s="21">
        <v>0</v>
      </c>
      <c r="C158" s="21">
        <v>20</v>
      </c>
      <c r="D158" s="21">
        <v>0</v>
      </c>
      <c r="E158" s="21">
        <v>0</v>
      </c>
      <c r="F158" s="21">
        <v>0</v>
      </c>
      <c r="G158" s="21">
        <v>0</v>
      </c>
      <c r="H158" s="21">
        <v>0</v>
      </c>
      <c r="I158" s="21">
        <v>0</v>
      </c>
    </row>
    <row r="159" spans="1:9" ht="21">
      <c r="A159" s="20">
        <v>40553</v>
      </c>
      <c r="B159" s="21">
        <v>0</v>
      </c>
      <c r="C159" s="21">
        <v>0</v>
      </c>
      <c r="D159" s="21">
        <v>0</v>
      </c>
      <c r="E159" s="21">
        <v>10</v>
      </c>
      <c r="F159" s="21">
        <v>0</v>
      </c>
      <c r="G159" s="21">
        <v>0</v>
      </c>
      <c r="H159" s="21">
        <v>0</v>
      </c>
      <c r="I159" s="21">
        <v>0</v>
      </c>
    </row>
    <row r="160" spans="1:9" ht="21">
      <c r="A160" s="18">
        <v>40554</v>
      </c>
      <c r="B160" s="21">
        <v>0</v>
      </c>
      <c r="C160" s="21">
        <v>0</v>
      </c>
      <c r="D160" s="21">
        <v>0</v>
      </c>
      <c r="E160" s="21">
        <v>0</v>
      </c>
      <c r="F160" s="21">
        <v>0</v>
      </c>
      <c r="G160" s="21">
        <v>0</v>
      </c>
      <c r="H160" s="21">
        <v>0</v>
      </c>
      <c r="I160" s="21">
        <v>89</v>
      </c>
    </row>
    <row r="161" spans="1:9" ht="21">
      <c r="A161" s="20">
        <v>40555</v>
      </c>
      <c r="B161" s="21">
        <v>0</v>
      </c>
      <c r="C161" s="21">
        <v>10</v>
      </c>
      <c r="D161" s="21">
        <v>0</v>
      </c>
      <c r="E161" s="21">
        <v>0</v>
      </c>
      <c r="F161" s="21">
        <v>0</v>
      </c>
      <c r="G161" s="21">
        <v>0</v>
      </c>
      <c r="H161" s="21">
        <v>3</v>
      </c>
      <c r="I161" s="21">
        <v>39</v>
      </c>
    </row>
    <row r="162" spans="1:9" ht="21">
      <c r="A162" s="18">
        <v>40556</v>
      </c>
      <c r="B162" s="21">
        <v>1</v>
      </c>
      <c r="C162" s="21">
        <v>7</v>
      </c>
      <c r="D162" s="21">
        <v>0</v>
      </c>
      <c r="E162" s="21">
        <v>0</v>
      </c>
      <c r="F162" s="21">
        <v>25</v>
      </c>
      <c r="G162" s="21">
        <v>0</v>
      </c>
      <c r="H162" s="21">
        <v>0</v>
      </c>
      <c r="I162" s="21">
        <v>5</v>
      </c>
    </row>
    <row r="163" spans="1:9" ht="21">
      <c r="A163" s="20">
        <v>40557</v>
      </c>
      <c r="B163" s="21">
        <v>37</v>
      </c>
      <c r="C163" s="21">
        <v>0</v>
      </c>
      <c r="D163" s="21">
        <v>0</v>
      </c>
      <c r="E163" s="21">
        <v>0</v>
      </c>
      <c r="F163" s="21">
        <v>20</v>
      </c>
      <c r="G163" s="21">
        <v>0</v>
      </c>
      <c r="H163" s="21">
        <v>0</v>
      </c>
      <c r="I163" s="21">
        <v>11</v>
      </c>
    </row>
    <row r="164" spans="1:9" ht="21">
      <c r="A164" s="18">
        <v>40558</v>
      </c>
      <c r="B164" s="21">
        <v>11</v>
      </c>
      <c r="C164" s="21">
        <v>0</v>
      </c>
      <c r="D164" s="21">
        <v>15</v>
      </c>
      <c r="E164" s="21">
        <v>0</v>
      </c>
      <c r="F164" s="21">
        <v>0</v>
      </c>
      <c r="G164" s="21">
        <v>0</v>
      </c>
      <c r="H164" s="21">
        <v>0</v>
      </c>
      <c r="I164" s="21">
        <v>0</v>
      </c>
    </row>
    <row r="165" spans="1:9" ht="21">
      <c r="A165" s="20">
        <v>40559</v>
      </c>
      <c r="B165" s="21">
        <v>0</v>
      </c>
      <c r="C165" s="21">
        <v>0</v>
      </c>
      <c r="D165" s="21">
        <v>0</v>
      </c>
      <c r="E165" s="21">
        <v>0</v>
      </c>
      <c r="F165" s="21">
        <v>0</v>
      </c>
      <c r="G165" s="21">
        <v>0</v>
      </c>
      <c r="H165" s="21">
        <v>0</v>
      </c>
      <c r="I165" s="21">
        <v>0</v>
      </c>
    </row>
    <row r="166" spans="1:9" ht="21">
      <c r="A166" s="18">
        <v>40560</v>
      </c>
      <c r="B166" s="21">
        <v>2</v>
      </c>
      <c r="C166" s="21">
        <v>40</v>
      </c>
      <c r="D166" s="21">
        <v>80</v>
      </c>
      <c r="E166" s="21">
        <v>0</v>
      </c>
      <c r="F166" s="21">
        <v>13</v>
      </c>
      <c r="G166" s="21">
        <v>26</v>
      </c>
      <c r="H166" s="21">
        <v>0</v>
      </c>
      <c r="I166" s="21">
        <v>130</v>
      </c>
    </row>
    <row r="167" spans="1:9" ht="21">
      <c r="A167" s="20">
        <v>40561</v>
      </c>
      <c r="B167" s="21">
        <v>0</v>
      </c>
      <c r="C167" s="21">
        <v>0</v>
      </c>
      <c r="D167" s="21">
        <v>450</v>
      </c>
      <c r="E167" s="21">
        <v>0</v>
      </c>
      <c r="F167" s="21">
        <v>16</v>
      </c>
      <c r="G167" s="21">
        <v>0</v>
      </c>
      <c r="H167" s="21">
        <v>0</v>
      </c>
      <c r="I167" s="21">
        <v>86</v>
      </c>
    </row>
    <row r="168" spans="1:9" ht="21">
      <c r="A168" s="18">
        <v>40562</v>
      </c>
      <c r="B168" s="21">
        <v>0</v>
      </c>
      <c r="C168" s="21">
        <v>0</v>
      </c>
      <c r="D168" s="21">
        <v>60</v>
      </c>
      <c r="E168" s="21">
        <v>20</v>
      </c>
      <c r="F168" s="21">
        <v>10</v>
      </c>
      <c r="G168" s="21">
        <v>0</v>
      </c>
      <c r="H168" s="21">
        <v>0</v>
      </c>
      <c r="I168" s="21">
        <v>0</v>
      </c>
    </row>
    <row r="169" spans="1:9" ht="21">
      <c r="A169" s="20">
        <v>40563</v>
      </c>
      <c r="B169" s="21">
        <v>105</v>
      </c>
      <c r="C169" s="21">
        <v>0</v>
      </c>
      <c r="D169" s="21">
        <v>0</v>
      </c>
      <c r="E169" s="21">
        <v>0</v>
      </c>
      <c r="F169" s="21">
        <v>95</v>
      </c>
      <c r="G169" s="21">
        <v>20</v>
      </c>
      <c r="H169" s="21">
        <v>0</v>
      </c>
      <c r="I169" s="21">
        <v>0</v>
      </c>
    </row>
    <row r="170" spans="1:9" ht="21">
      <c r="A170" s="18">
        <v>40564</v>
      </c>
      <c r="B170" s="21">
        <v>0</v>
      </c>
      <c r="C170" s="21">
        <v>0</v>
      </c>
      <c r="D170" s="21">
        <v>95</v>
      </c>
      <c r="E170" s="21">
        <v>0</v>
      </c>
      <c r="F170" s="21">
        <v>20</v>
      </c>
      <c r="G170" s="21">
        <v>0</v>
      </c>
      <c r="H170" s="21">
        <v>0</v>
      </c>
      <c r="I170" s="21">
        <v>0</v>
      </c>
    </row>
    <row r="171" spans="1:9" ht="21">
      <c r="A171" s="20">
        <v>40565</v>
      </c>
      <c r="B171" s="21">
        <v>6</v>
      </c>
      <c r="C171" s="21">
        <v>0</v>
      </c>
      <c r="D171" s="21">
        <v>0</v>
      </c>
      <c r="E171" s="21">
        <v>0</v>
      </c>
      <c r="F171" s="21">
        <v>0</v>
      </c>
      <c r="G171" s="21">
        <v>0</v>
      </c>
      <c r="H171" s="21">
        <v>0</v>
      </c>
      <c r="I171" s="21">
        <v>0</v>
      </c>
    </row>
    <row r="172" spans="1:9" ht="21">
      <c r="A172" s="18">
        <v>40566</v>
      </c>
      <c r="B172" s="21">
        <v>71</v>
      </c>
      <c r="C172" s="21">
        <v>0</v>
      </c>
      <c r="D172" s="21">
        <v>0</v>
      </c>
      <c r="E172" s="21">
        <v>40</v>
      </c>
      <c r="F172" s="21">
        <v>0</v>
      </c>
      <c r="G172" s="21">
        <v>0</v>
      </c>
      <c r="H172" s="21">
        <v>0</v>
      </c>
      <c r="I172" s="21">
        <v>0</v>
      </c>
    </row>
    <row r="173" spans="1:9" ht="21">
      <c r="A173" s="20">
        <v>40567</v>
      </c>
      <c r="B173" s="21">
        <v>12</v>
      </c>
      <c r="C173" s="21">
        <v>33</v>
      </c>
      <c r="D173" s="21">
        <v>70</v>
      </c>
      <c r="E173" s="21">
        <v>0</v>
      </c>
      <c r="F173" s="21">
        <v>0</v>
      </c>
      <c r="G173" s="21">
        <v>0</v>
      </c>
      <c r="H173" s="21">
        <v>0</v>
      </c>
      <c r="I173" s="21">
        <v>0</v>
      </c>
    </row>
    <row r="174" spans="1:9" ht="21">
      <c r="A174" s="18">
        <v>40568</v>
      </c>
      <c r="B174" s="21">
        <v>90</v>
      </c>
      <c r="C174" s="21">
        <v>0</v>
      </c>
      <c r="D174" s="21">
        <v>20</v>
      </c>
      <c r="E174" s="21">
        <v>145</v>
      </c>
      <c r="F174" s="21">
        <v>33</v>
      </c>
      <c r="G174" s="21">
        <v>12</v>
      </c>
      <c r="H174" s="21">
        <v>0</v>
      </c>
      <c r="I174" s="21">
        <v>0</v>
      </c>
    </row>
    <row r="175" spans="1:9" ht="21">
      <c r="A175" s="20">
        <v>40569</v>
      </c>
      <c r="B175" s="21">
        <v>0</v>
      </c>
      <c r="C175" s="21">
        <v>0</v>
      </c>
      <c r="D175" s="21">
        <v>80</v>
      </c>
      <c r="E175" s="21">
        <v>65</v>
      </c>
      <c r="F175" s="21">
        <v>0</v>
      </c>
      <c r="G175" s="21">
        <v>20</v>
      </c>
      <c r="H175" s="21">
        <v>0</v>
      </c>
      <c r="I175" s="21">
        <v>0</v>
      </c>
    </row>
    <row r="176" spans="1:9" ht="21">
      <c r="A176" s="18">
        <v>40570</v>
      </c>
      <c r="B176" s="21">
        <v>44</v>
      </c>
      <c r="C176" s="21">
        <v>10</v>
      </c>
      <c r="D176" s="21">
        <v>0</v>
      </c>
      <c r="E176" s="21">
        <v>0</v>
      </c>
      <c r="F176" s="21">
        <v>0</v>
      </c>
      <c r="G176" s="21">
        <v>0</v>
      </c>
      <c r="H176" s="21">
        <v>0</v>
      </c>
      <c r="I176" s="21">
        <v>0</v>
      </c>
    </row>
    <row r="177" spans="1:9" ht="21">
      <c r="A177" s="20">
        <v>40571</v>
      </c>
      <c r="B177" s="21">
        <v>75</v>
      </c>
      <c r="C177" s="21">
        <v>0</v>
      </c>
      <c r="D177" s="21">
        <v>30</v>
      </c>
      <c r="E177" s="21">
        <v>0</v>
      </c>
      <c r="F177" s="21">
        <v>15</v>
      </c>
      <c r="G177" s="21">
        <v>20</v>
      </c>
      <c r="H177" s="21">
        <v>0</v>
      </c>
      <c r="I177" s="21">
        <v>0</v>
      </c>
    </row>
    <row r="178" spans="1:9" ht="21">
      <c r="A178" s="18">
        <v>40572</v>
      </c>
      <c r="B178" s="21">
        <v>0</v>
      </c>
      <c r="C178" s="21">
        <v>0</v>
      </c>
      <c r="D178" s="21">
        <v>60</v>
      </c>
      <c r="E178" s="21">
        <v>0</v>
      </c>
      <c r="F178" s="21">
        <v>0</v>
      </c>
      <c r="G178" s="21">
        <v>1</v>
      </c>
      <c r="H178" s="21">
        <v>0</v>
      </c>
      <c r="I178" s="21">
        <v>0</v>
      </c>
    </row>
    <row r="179" spans="1:9" ht="21">
      <c r="A179" s="20">
        <v>40573</v>
      </c>
      <c r="B179" s="21">
        <v>0</v>
      </c>
      <c r="C179" s="21">
        <v>0</v>
      </c>
      <c r="D179" s="21">
        <v>0</v>
      </c>
      <c r="E179" s="21">
        <v>0</v>
      </c>
      <c r="F179" s="21">
        <v>0</v>
      </c>
      <c r="G179" s="21">
        <v>330</v>
      </c>
      <c r="H179" s="21">
        <v>0</v>
      </c>
      <c r="I179" s="21">
        <v>0</v>
      </c>
    </row>
    <row r="180" spans="1:9" ht="21.75" thickBot="1">
      <c r="A180" s="18">
        <v>40574</v>
      </c>
      <c r="B180" s="22">
        <v>0</v>
      </c>
      <c r="C180" s="22">
        <v>0</v>
      </c>
      <c r="D180" s="22">
        <v>41</v>
      </c>
      <c r="E180" s="22">
        <v>25</v>
      </c>
      <c r="F180" s="22">
        <v>0</v>
      </c>
      <c r="G180" s="22">
        <v>180</v>
      </c>
      <c r="H180" s="22">
        <v>0</v>
      </c>
      <c r="I180" s="22">
        <v>0</v>
      </c>
    </row>
    <row r="181" spans="1:9" ht="24.75" thickTop="1" thickBot="1">
      <c r="A181" s="23" t="s">
        <v>9</v>
      </c>
      <c r="B181" s="24">
        <v>611</v>
      </c>
      <c r="C181" s="24">
        <v>227</v>
      </c>
      <c r="D181" s="24">
        <v>1413</v>
      </c>
      <c r="E181" s="24">
        <v>400</v>
      </c>
      <c r="F181" s="24">
        <v>352</v>
      </c>
      <c r="G181" s="24">
        <v>755</v>
      </c>
      <c r="H181" s="24">
        <v>3</v>
      </c>
      <c r="I181" s="24">
        <v>443</v>
      </c>
    </row>
    <row r="182" spans="1:9" ht="24.75" thickTop="1" thickBot="1">
      <c r="A182" s="16"/>
      <c r="B182" s="17"/>
      <c r="C182" s="17"/>
      <c r="D182" s="17"/>
      <c r="E182" s="17"/>
      <c r="F182" s="17"/>
      <c r="G182" s="17"/>
      <c r="H182" s="17"/>
      <c r="I182" s="17"/>
    </row>
    <row r="183" spans="1:9" ht="15.75" thickTop="1">
      <c r="A183" s="131" t="s">
        <v>0</v>
      </c>
      <c r="B183" s="131" t="s">
        <v>1</v>
      </c>
      <c r="C183" s="131" t="s">
        <v>2</v>
      </c>
      <c r="D183" s="131" t="s">
        <v>10</v>
      </c>
      <c r="E183" s="131" t="s">
        <v>11</v>
      </c>
      <c r="F183" s="131" t="s">
        <v>12</v>
      </c>
      <c r="G183" s="131" t="s">
        <v>13</v>
      </c>
      <c r="H183" s="131" t="s">
        <v>14</v>
      </c>
      <c r="I183" s="131" t="s">
        <v>15</v>
      </c>
    </row>
    <row r="184" spans="1:9" ht="15.75" thickBot="1">
      <c r="A184" s="132"/>
      <c r="B184" s="132"/>
      <c r="C184" s="132"/>
      <c r="D184" s="132"/>
      <c r="E184" s="132"/>
      <c r="F184" s="132"/>
      <c r="G184" s="132"/>
      <c r="H184" s="132"/>
      <c r="I184" s="132"/>
    </row>
    <row r="185" spans="1:9" ht="21.75" thickTop="1">
      <c r="A185" s="8">
        <v>40513</v>
      </c>
      <c r="B185" s="9">
        <v>0</v>
      </c>
      <c r="C185" s="9">
        <v>0</v>
      </c>
      <c r="D185" s="9">
        <v>20</v>
      </c>
      <c r="E185" s="9">
        <v>0</v>
      </c>
      <c r="F185" s="9">
        <v>5</v>
      </c>
      <c r="G185" s="9">
        <v>0</v>
      </c>
      <c r="H185" s="9">
        <v>0</v>
      </c>
      <c r="I185" s="9">
        <v>0</v>
      </c>
    </row>
    <row r="186" spans="1:9" ht="21">
      <c r="A186" s="10">
        <v>40514</v>
      </c>
      <c r="B186" s="11">
        <v>5</v>
      </c>
      <c r="C186" s="11">
        <v>6</v>
      </c>
      <c r="D186" s="11">
        <v>0</v>
      </c>
      <c r="E186" s="9">
        <v>55</v>
      </c>
      <c r="F186" s="11">
        <v>0</v>
      </c>
      <c r="G186" s="11">
        <v>112</v>
      </c>
      <c r="H186" s="11">
        <v>0</v>
      </c>
      <c r="I186" s="9">
        <v>0</v>
      </c>
    </row>
    <row r="187" spans="1:9" ht="21">
      <c r="A187" s="8">
        <v>40515</v>
      </c>
      <c r="B187" s="11">
        <v>0</v>
      </c>
      <c r="C187" s="11">
        <v>0</v>
      </c>
      <c r="D187" s="11">
        <v>7</v>
      </c>
      <c r="E187" s="11">
        <v>23</v>
      </c>
      <c r="F187" s="11">
        <v>0</v>
      </c>
      <c r="G187" s="11">
        <v>280</v>
      </c>
      <c r="H187" s="11">
        <v>0</v>
      </c>
      <c r="I187" s="9">
        <v>10</v>
      </c>
    </row>
    <row r="188" spans="1:9" ht="21">
      <c r="A188" s="10">
        <v>40516</v>
      </c>
      <c r="B188" s="11">
        <v>0</v>
      </c>
      <c r="C188" s="11">
        <v>0</v>
      </c>
      <c r="D188" s="11">
        <v>0</v>
      </c>
      <c r="E188" s="11">
        <v>0</v>
      </c>
      <c r="F188" s="11">
        <v>0</v>
      </c>
      <c r="G188" s="11">
        <v>25</v>
      </c>
      <c r="H188" s="11">
        <v>0</v>
      </c>
      <c r="I188" s="11">
        <v>0</v>
      </c>
    </row>
    <row r="189" spans="1:9" ht="21">
      <c r="A189" s="8">
        <v>40517</v>
      </c>
      <c r="B189" s="11">
        <v>0</v>
      </c>
      <c r="C189" s="11">
        <v>0</v>
      </c>
      <c r="D189" s="11">
        <v>0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</row>
    <row r="190" spans="1:9" ht="21">
      <c r="A190" s="10">
        <v>40518</v>
      </c>
      <c r="B190" s="11">
        <v>0</v>
      </c>
      <c r="C190" s="11">
        <v>25</v>
      </c>
      <c r="D190" s="11">
        <v>110</v>
      </c>
      <c r="E190" s="11">
        <v>0</v>
      </c>
      <c r="F190" s="11">
        <v>0</v>
      </c>
      <c r="G190" s="11">
        <v>20</v>
      </c>
      <c r="H190" s="11">
        <v>4</v>
      </c>
      <c r="I190" s="11">
        <v>2</v>
      </c>
    </row>
    <row r="191" spans="1:9" ht="21">
      <c r="A191" s="8">
        <v>40519</v>
      </c>
      <c r="B191" s="11">
        <v>0</v>
      </c>
      <c r="C191" s="11">
        <v>0</v>
      </c>
      <c r="D191" s="11">
        <v>66</v>
      </c>
      <c r="E191" s="11">
        <v>0</v>
      </c>
      <c r="F191" s="11">
        <v>10</v>
      </c>
      <c r="G191" s="11">
        <v>36</v>
      </c>
      <c r="H191" s="11">
        <v>0</v>
      </c>
      <c r="I191" s="11">
        <v>0</v>
      </c>
    </row>
    <row r="192" spans="1:9" ht="21">
      <c r="A192" s="10">
        <v>40520</v>
      </c>
      <c r="B192" s="11">
        <v>0</v>
      </c>
      <c r="C192" s="11">
        <v>50</v>
      </c>
      <c r="D192" s="11">
        <v>0</v>
      </c>
      <c r="E192" s="11">
        <v>75</v>
      </c>
      <c r="F192" s="11">
        <v>10</v>
      </c>
      <c r="G192" s="11">
        <v>0</v>
      </c>
      <c r="H192" s="11">
        <v>0</v>
      </c>
      <c r="I192" s="11">
        <v>0</v>
      </c>
    </row>
    <row r="193" spans="1:9" ht="21">
      <c r="A193" s="8">
        <v>40521</v>
      </c>
      <c r="B193" s="11">
        <v>147</v>
      </c>
      <c r="C193" s="11">
        <v>18</v>
      </c>
      <c r="D193" s="11">
        <v>0</v>
      </c>
      <c r="E193" s="11">
        <v>0</v>
      </c>
      <c r="F193" s="11">
        <v>0</v>
      </c>
      <c r="G193" s="11">
        <v>10</v>
      </c>
      <c r="H193" s="11">
        <v>0</v>
      </c>
      <c r="I193" s="11">
        <v>0</v>
      </c>
    </row>
    <row r="194" spans="1:9" ht="21">
      <c r="A194" s="10">
        <v>40522</v>
      </c>
      <c r="B194" s="11">
        <v>0</v>
      </c>
      <c r="C194" s="11">
        <v>0</v>
      </c>
      <c r="D194" s="11">
        <v>0</v>
      </c>
      <c r="E194" s="11">
        <v>0</v>
      </c>
      <c r="F194" s="11">
        <v>0</v>
      </c>
      <c r="G194" s="11">
        <v>0</v>
      </c>
      <c r="H194" s="11">
        <v>0</v>
      </c>
      <c r="I194" s="11">
        <v>31</v>
      </c>
    </row>
    <row r="195" spans="1:9" ht="21">
      <c r="A195" s="8">
        <v>40523</v>
      </c>
      <c r="B195" s="11">
        <v>24</v>
      </c>
      <c r="C195" s="11">
        <v>5</v>
      </c>
      <c r="D195" s="11">
        <v>0</v>
      </c>
      <c r="E195" s="11">
        <v>90</v>
      </c>
      <c r="F195" s="11">
        <v>0</v>
      </c>
      <c r="G195" s="11">
        <v>15</v>
      </c>
      <c r="H195" s="11">
        <v>0</v>
      </c>
      <c r="I195" s="11">
        <v>0</v>
      </c>
    </row>
    <row r="196" spans="1:9" ht="21">
      <c r="A196" s="10">
        <v>40524</v>
      </c>
      <c r="B196" s="11">
        <v>0</v>
      </c>
      <c r="C196" s="11">
        <v>60</v>
      </c>
      <c r="D196" s="11">
        <v>174</v>
      </c>
      <c r="E196" s="11">
        <v>0</v>
      </c>
      <c r="F196" s="11">
        <v>0</v>
      </c>
      <c r="G196" s="11">
        <v>15</v>
      </c>
      <c r="H196" s="11">
        <v>0</v>
      </c>
      <c r="I196" s="11">
        <v>0</v>
      </c>
    </row>
    <row r="197" spans="1:9" ht="21">
      <c r="A197" s="8">
        <v>40525</v>
      </c>
      <c r="B197" s="11">
        <v>0</v>
      </c>
      <c r="C197" s="11">
        <v>0</v>
      </c>
      <c r="D197" s="11">
        <v>0</v>
      </c>
      <c r="E197" s="11">
        <v>0</v>
      </c>
      <c r="F197" s="11">
        <v>0</v>
      </c>
      <c r="G197" s="11">
        <v>30</v>
      </c>
      <c r="H197" s="11">
        <v>1</v>
      </c>
      <c r="I197" s="11">
        <v>15</v>
      </c>
    </row>
    <row r="198" spans="1:9" ht="21">
      <c r="A198" s="10">
        <v>40526</v>
      </c>
      <c r="B198" s="11">
        <v>0</v>
      </c>
      <c r="C198" s="11">
        <v>30</v>
      </c>
      <c r="D198" s="11">
        <v>0</v>
      </c>
      <c r="E198" s="11">
        <v>0</v>
      </c>
      <c r="F198" s="11">
        <v>0</v>
      </c>
      <c r="G198" s="11">
        <v>14</v>
      </c>
      <c r="H198" s="11">
        <v>0</v>
      </c>
      <c r="I198" s="11">
        <v>0</v>
      </c>
    </row>
    <row r="199" spans="1:9" ht="21">
      <c r="A199" s="8">
        <v>40527</v>
      </c>
      <c r="B199" s="11">
        <v>6</v>
      </c>
      <c r="C199" s="11">
        <v>0</v>
      </c>
      <c r="D199" s="11">
        <v>21</v>
      </c>
      <c r="E199" s="11">
        <v>0</v>
      </c>
      <c r="F199" s="11">
        <v>0</v>
      </c>
      <c r="G199" s="11">
        <v>110</v>
      </c>
      <c r="H199" s="11">
        <v>0</v>
      </c>
      <c r="I199" s="11">
        <v>0</v>
      </c>
    </row>
    <row r="200" spans="1:9" ht="21">
      <c r="A200" s="10">
        <v>40528</v>
      </c>
      <c r="B200" s="11">
        <v>0</v>
      </c>
      <c r="C200" s="11">
        <v>3</v>
      </c>
      <c r="D200" s="11">
        <v>0</v>
      </c>
      <c r="E200" s="11">
        <v>0</v>
      </c>
      <c r="F200" s="11">
        <v>0</v>
      </c>
      <c r="G200" s="11">
        <v>86</v>
      </c>
      <c r="H200" s="11">
        <v>0</v>
      </c>
      <c r="I200" s="11">
        <v>0</v>
      </c>
    </row>
    <row r="201" spans="1:9" ht="21">
      <c r="A201" s="8">
        <v>40529</v>
      </c>
      <c r="B201" s="11">
        <v>0</v>
      </c>
      <c r="C201" s="11">
        <v>10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</row>
    <row r="202" spans="1:9" ht="21">
      <c r="A202" s="10">
        <v>40530</v>
      </c>
      <c r="B202" s="11">
        <v>0</v>
      </c>
      <c r="C202" s="11">
        <v>121</v>
      </c>
      <c r="D202" s="11">
        <v>0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</row>
    <row r="203" spans="1:9" ht="21">
      <c r="A203" s="8">
        <v>40531</v>
      </c>
      <c r="B203" s="11">
        <v>0</v>
      </c>
      <c r="C203" s="11">
        <v>0</v>
      </c>
      <c r="D203" s="11">
        <v>0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</row>
    <row r="204" spans="1:9" ht="21">
      <c r="A204" s="10">
        <v>40532</v>
      </c>
      <c r="B204" s="11">
        <v>0</v>
      </c>
      <c r="C204" s="11">
        <v>15</v>
      </c>
      <c r="D204" s="11">
        <v>33</v>
      </c>
      <c r="E204" s="11">
        <v>0</v>
      </c>
      <c r="F204" s="11">
        <v>0</v>
      </c>
      <c r="G204" s="11">
        <v>0</v>
      </c>
      <c r="H204" s="11">
        <v>0</v>
      </c>
      <c r="I204" s="11">
        <v>37</v>
      </c>
    </row>
    <row r="205" spans="1:9" ht="21">
      <c r="A205" s="8">
        <v>40533</v>
      </c>
      <c r="B205" s="11">
        <v>96</v>
      </c>
      <c r="C205" s="11">
        <v>0</v>
      </c>
      <c r="D205" s="11">
        <v>140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</row>
    <row r="206" spans="1:9" ht="21">
      <c r="A206" s="10">
        <v>40534</v>
      </c>
      <c r="B206" s="11">
        <v>0</v>
      </c>
      <c r="C206" s="11">
        <v>0</v>
      </c>
      <c r="D206" s="11">
        <v>12</v>
      </c>
      <c r="E206" s="11">
        <v>0</v>
      </c>
      <c r="F206" s="11">
        <v>0</v>
      </c>
      <c r="G206" s="11">
        <v>130</v>
      </c>
      <c r="H206" s="11">
        <v>0</v>
      </c>
      <c r="I206" s="11">
        <v>0</v>
      </c>
    </row>
    <row r="207" spans="1:9" ht="21">
      <c r="A207" s="8">
        <v>40535</v>
      </c>
      <c r="B207" s="11">
        <v>18</v>
      </c>
      <c r="C207" s="11">
        <v>0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</row>
    <row r="208" spans="1:9" ht="21">
      <c r="A208" s="10">
        <v>40536</v>
      </c>
      <c r="B208" s="11">
        <v>5</v>
      </c>
      <c r="C208" s="11">
        <v>0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</row>
    <row r="209" spans="1:9" ht="21">
      <c r="A209" s="8">
        <v>40537</v>
      </c>
      <c r="B209" s="11">
        <v>0</v>
      </c>
      <c r="C209" s="11">
        <v>0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</row>
    <row r="210" spans="1:9" ht="21">
      <c r="A210" s="10">
        <v>40538</v>
      </c>
      <c r="B210" s="11">
        <v>0</v>
      </c>
      <c r="C210" s="11">
        <v>0</v>
      </c>
      <c r="D210" s="11">
        <v>0</v>
      </c>
      <c r="E210" s="11">
        <v>0</v>
      </c>
      <c r="F210" s="11">
        <v>0</v>
      </c>
      <c r="G210" s="11">
        <v>0</v>
      </c>
      <c r="H210" s="11">
        <v>0</v>
      </c>
      <c r="I210" s="11">
        <v>0</v>
      </c>
    </row>
    <row r="211" spans="1:9" ht="21">
      <c r="A211" s="8">
        <v>40539</v>
      </c>
      <c r="B211" s="11">
        <v>24</v>
      </c>
      <c r="C211" s="11">
        <v>0</v>
      </c>
      <c r="D211" s="11">
        <v>30</v>
      </c>
      <c r="E211" s="11">
        <v>0</v>
      </c>
      <c r="F211" s="11">
        <v>0</v>
      </c>
      <c r="G211" s="11">
        <v>23</v>
      </c>
      <c r="H211" s="11">
        <v>0</v>
      </c>
      <c r="I211" s="11">
        <v>0</v>
      </c>
    </row>
    <row r="212" spans="1:9" ht="21">
      <c r="A212" s="10">
        <v>40540</v>
      </c>
      <c r="B212" s="11">
        <v>0</v>
      </c>
      <c r="C212" s="11">
        <v>0</v>
      </c>
      <c r="D212" s="11">
        <v>90</v>
      </c>
      <c r="E212" s="11">
        <v>30</v>
      </c>
      <c r="F212" s="11">
        <v>0</v>
      </c>
      <c r="G212" s="11">
        <v>0</v>
      </c>
      <c r="H212" s="11">
        <v>0</v>
      </c>
      <c r="I212" s="11">
        <v>36</v>
      </c>
    </row>
    <row r="213" spans="1:9" ht="21">
      <c r="A213" s="8">
        <v>40541</v>
      </c>
      <c r="B213" s="11">
        <v>0</v>
      </c>
      <c r="C213" s="11">
        <v>0</v>
      </c>
      <c r="D213" s="11">
        <v>0</v>
      </c>
      <c r="E213" s="11">
        <v>205</v>
      </c>
      <c r="F213" s="11">
        <v>0</v>
      </c>
      <c r="G213" s="11">
        <v>0</v>
      </c>
      <c r="H213" s="11">
        <v>0</v>
      </c>
      <c r="I213" s="11">
        <v>2</v>
      </c>
    </row>
    <row r="214" spans="1:9" ht="21">
      <c r="A214" s="10">
        <v>40542</v>
      </c>
      <c r="B214" s="11">
        <v>15</v>
      </c>
      <c r="C214" s="11">
        <v>0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32</v>
      </c>
    </row>
    <row r="215" spans="1:9" ht="21.75" thickBot="1">
      <c r="A215" s="8">
        <v>40543</v>
      </c>
      <c r="B215" s="12">
        <v>0</v>
      </c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</row>
    <row r="216" spans="1:9" ht="24.75" thickTop="1" thickBot="1">
      <c r="A216" s="13" t="s">
        <v>9</v>
      </c>
      <c r="B216" s="14">
        <f t="shared" ref="B216:I216" si="4">SUM(B185:B215)</f>
        <v>340</v>
      </c>
      <c r="C216" s="14">
        <f t="shared" si="4"/>
        <v>343</v>
      </c>
      <c r="D216" s="14">
        <f t="shared" si="4"/>
        <v>703</v>
      </c>
      <c r="E216" s="14">
        <f>SUM(E185:E215)</f>
        <v>478</v>
      </c>
      <c r="F216" s="14">
        <f>SUM(F185:F215)</f>
        <v>25</v>
      </c>
      <c r="G216" s="14">
        <f>SUM(G185:G215)</f>
        <v>906</v>
      </c>
      <c r="H216" s="14">
        <f t="shared" si="4"/>
        <v>5</v>
      </c>
      <c r="I216" s="14">
        <f t="shared" si="4"/>
        <v>165</v>
      </c>
    </row>
    <row r="217" spans="1:9" ht="15.75" thickTop="1"/>
    <row r="218" spans="1:9" ht="15.75" thickBot="1"/>
    <row r="219" spans="1:9" ht="15.75" thickTop="1">
      <c r="A219" s="127" t="s">
        <v>0</v>
      </c>
      <c r="B219" s="127" t="s">
        <v>1</v>
      </c>
      <c r="C219" s="127" t="s">
        <v>2</v>
      </c>
      <c r="D219" s="127" t="s">
        <v>10</v>
      </c>
      <c r="E219" s="127" t="s">
        <v>11</v>
      </c>
      <c r="F219" s="127" t="s">
        <v>12</v>
      </c>
      <c r="G219" s="127" t="s">
        <v>14</v>
      </c>
      <c r="H219" s="127" t="s">
        <v>15</v>
      </c>
    </row>
    <row r="220" spans="1:9" ht="15.75" thickBot="1">
      <c r="A220" s="128"/>
      <c r="B220" s="128"/>
      <c r="C220" s="128"/>
      <c r="D220" s="128"/>
      <c r="E220" s="128"/>
      <c r="F220" s="128"/>
      <c r="G220" s="128"/>
      <c r="H220" s="128"/>
    </row>
    <row r="221" spans="1:9" ht="21.75" thickTop="1">
      <c r="A221" s="8">
        <v>40483</v>
      </c>
      <c r="B221" s="9">
        <f>'[2]tiempos Perdidos IBERPLAST'!B9</f>
        <v>0</v>
      </c>
      <c r="C221" s="9">
        <f>'[2]tiempos Perdidos IBERPLAST'!B10</f>
        <v>0</v>
      </c>
      <c r="D221" s="9">
        <f>'[2]tiempos Perdidos IBERPLAST'!B11</f>
        <v>0</v>
      </c>
      <c r="E221" s="9">
        <f>'[2]tiempos Perdidos IBERPLAST'!B12</f>
        <v>0</v>
      </c>
      <c r="F221" s="9">
        <f>'[2]tiempos Perdidos IBERPLAST'!B13</f>
        <v>40</v>
      </c>
      <c r="G221" s="9">
        <f>'[2]tiempos Perdidos IBERPLAST'!B14</f>
        <v>0</v>
      </c>
      <c r="H221" s="9">
        <f>'[2]tiempos Perdidos IBERPLAST'!B15</f>
        <v>0</v>
      </c>
    </row>
    <row r="222" spans="1:9" ht="21">
      <c r="A222" s="10">
        <v>40484</v>
      </c>
      <c r="B222" s="11">
        <f>'[2]tiempos Perdidos IBERPLAST'!C9</f>
        <v>54</v>
      </c>
      <c r="C222" s="11">
        <f>'[2]tiempos Perdidos IBERPLAST'!C10</f>
        <v>8</v>
      </c>
      <c r="D222" s="11">
        <f>'[2]tiempos Perdidos IBERPLAST'!C11</f>
        <v>0</v>
      </c>
      <c r="E222" s="9">
        <f>'[2]tiempos Perdidos IBERPLAST'!C12</f>
        <v>28</v>
      </c>
      <c r="F222" s="11">
        <f>'[2]tiempos Perdidos IBERPLAST'!C13</f>
        <v>18</v>
      </c>
      <c r="G222" s="11">
        <f>'[2]tiempos Perdidos IBERPLAST'!C14</f>
        <v>0</v>
      </c>
      <c r="H222" s="9">
        <f>'[2]tiempos Perdidos IBERPLAST'!C15</f>
        <v>0</v>
      </c>
    </row>
    <row r="223" spans="1:9" ht="21">
      <c r="A223" s="10">
        <v>40485</v>
      </c>
      <c r="B223" s="11">
        <f>'[2]tiempos Perdidos IBERPLAST'!D9</f>
        <v>3</v>
      </c>
      <c r="C223" s="11">
        <f>'[2]tiempos Perdidos IBERPLAST'!D10</f>
        <v>0</v>
      </c>
      <c r="D223" s="11">
        <f>'[2]tiempos Perdidos IBERPLAST'!D11</f>
        <v>30</v>
      </c>
      <c r="E223" s="11">
        <f>'[2]tiempos Perdidos IBERPLAST'!D12</f>
        <v>47</v>
      </c>
      <c r="F223" s="11">
        <f>'[2]tiempos Perdidos IBERPLAST'!D13</f>
        <v>15</v>
      </c>
      <c r="G223" s="11">
        <f>'[2]tiempos Perdidos IBERPLAST'!D14</f>
        <v>0</v>
      </c>
      <c r="H223" s="9">
        <f>'[2]tiempos Perdidos IBERPLAST'!D15</f>
        <v>0</v>
      </c>
    </row>
    <row r="224" spans="1:9" ht="21">
      <c r="A224" s="10">
        <v>40486</v>
      </c>
      <c r="B224" s="11">
        <f>'[2]tiempos Perdidos IBERPLAST'!E9</f>
        <v>10</v>
      </c>
      <c r="C224" s="11">
        <f>'[2]tiempos Perdidos IBERPLAST'!E10</f>
        <v>0</v>
      </c>
      <c r="D224" s="11">
        <f>'[2]tiempos Perdidos IBERPLAST'!E11</f>
        <v>0</v>
      </c>
      <c r="E224" s="11">
        <f>'[2]tiempos Perdidos IBERPLAST'!E12</f>
        <v>4</v>
      </c>
      <c r="F224" s="11">
        <f>'[2]tiempos Perdidos IBERPLAST'!E13</f>
        <v>0</v>
      </c>
      <c r="G224" s="11">
        <f>'[2]tiempos Perdidos IBERPLAST'!E14</f>
        <v>0</v>
      </c>
      <c r="H224" s="11">
        <f>'[2]tiempos Perdidos IBERPLAST'!E15</f>
        <v>6</v>
      </c>
    </row>
    <row r="225" spans="1:8" ht="21">
      <c r="A225" s="10">
        <v>40487</v>
      </c>
      <c r="B225" s="11">
        <f>'[2]tiempos Perdidos IBERPLAST'!F9</f>
        <v>0</v>
      </c>
      <c r="C225" s="11">
        <f>'[2]tiempos Perdidos IBERPLAST'!F10</f>
        <v>13</v>
      </c>
      <c r="D225" s="11">
        <f>'[2]tiempos Perdidos IBERPLAST'!F11</f>
        <v>0</v>
      </c>
      <c r="E225" s="11">
        <f>'[2]tiempos Perdidos IBERPLAST'!F12</f>
        <v>52</v>
      </c>
      <c r="F225" s="11">
        <f>'[2]tiempos Perdidos IBERPLAST'!F13</f>
        <v>0</v>
      </c>
      <c r="G225" s="11">
        <f>'[2]tiempos Perdidos IBERPLAST'!F14</f>
        <v>0</v>
      </c>
      <c r="H225" s="11">
        <f>'[2]tiempos Perdidos IBERPLAST'!F15</f>
        <v>0</v>
      </c>
    </row>
    <row r="226" spans="1:8" ht="21">
      <c r="A226" s="10">
        <v>40488</v>
      </c>
      <c r="B226" s="11">
        <f>'[2]tiempos Perdidos IBERPLAST'!G9</f>
        <v>0</v>
      </c>
      <c r="C226" s="11">
        <f>'[2]tiempos Perdidos IBERPLAST'!G10</f>
        <v>110</v>
      </c>
      <c r="D226" s="11">
        <f>'[2]tiempos Perdidos IBERPLAST'!G11</f>
        <v>0</v>
      </c>
      <c r="E226" s="11">
        <f>'[2]tiempos Perdidos IBERPLAST'!G12</f>
        <v>127</v>
      </c>
      <c r="F226" s="11">
        <f>'[2]tiempos Perdidos IBERPLAST'!G13</f>
        <v>0</v>
      </c>
      <c r="G226" s="11">
        <f>'[2]tiempos Perdidos IBERPLAST'!G14</f>
        <v>0</v>
      </c>
      <c r="H226" s="11">
        <f>'[2]tiempos Perdidos IBERPLAST'!G15</f>
        <v>10</v>
      </c>
    </row>
    <row r="227" spans="1:8" ht="21">
      <c r="A227" s="10">
        <v>40489</v>
      </c>
      <c r="B227" s="11">
        <f>'[2]tiempos Perdidos IBERPLAST'!H9</f>
        <v>69</v>
      </c>
      <c r="C227" s="11">
        <f>'[2]tiempos Perdidos IBERPLAST'!H10</f>
        <v>20</v>
      </c>
      <c r="D227" s="11">
        <f>'[2]tiempos Perdidos IBERPLAST'!H11</f>
        <v>0</v>
      </c>
      <c r="E227" s="11">
        <f>'[2]tiempos Perdidos IBERPLAST'!H12</f>
        <v>0</v>
      </c>
      <c r="F227" s="11">
        <f>'[2]tiempos Perdidos IBERPLAST'!H13</f>
        <v>0</v>
      </c>
      <c r="G227" s="11">
        <f>'[2]tiempos Perdidos IBERPLAST'!H14</f>
        <v>0</v>
      </c>
      <c r="H227" s="11">
        <f>'[2]tiempos Perdidos IBERPLAST'!H15</f>
        <v>0</v>
      </c>
    </row>
    <row r="228" spans="1:8" ht="21">
      <c r="A228" s="10">
        <v>40490</v>
      </c>
      <c r="B228" s="11">
        <f>'[2]tiempos Perdidos IBERPLAST'!I9</f>
        <v>0</v>
      </c>
      <c r="C228" s="11">
        <f>'[2]tiempos Perdidos IBERPLAST'!I10</f>
        <v>0</v>
      </c>
      <c r="D228" s="11">
        <f>'[2]tiempos Perdidos IBERPLAST'!I11</f>
        <v>0</v>
      </c>
      <c r="E228" s="11">
        <f>'[2]tiempos Perdidos IBERPLAST'!I12</f>
        <v>0</v>
      </c>
      <c r="F228" s="11">
        <f>'[2]tiempos Perdidos IBERPLAST'!I13</f>
        <v>0</v>
      </c>
      <c r="G228" s="11">
        <f>'[2]tiempos Perdidos IBERPLAST'!I14</f>
        <v>0</v>
      </c>
      <c r="H228" s="11">
        <f>'[2]tiempos Perdidos IBERPLAST'!I15</f>
        <v>0</v>
      </c>
    </row>
    <row r="229" spans="1:8" ht="21">
      <c r="A229" s="10">
        <v>40491</v>
      </c>
      <c r="B229" s="11">
        <f>'[2]tiempos Perdidos IBERPLAST'!J9</f>
        <v>100</v>
      </c>
      <c r="C229" s="11">
        <f>'[2]tiempos Perdidos IBERPLAST'!J10</f>
        <v>20</v>
      </c>
      <c r="D229" s="11">
        <f>'[2]tiempos Perdidos IBERPLAST'!J11</f>
        <v>0</v>
      </c>
      <c r="E229" s="11">
        <f>'[2]tiempos Perdidos IBERPLAST'!J12</f>
        <v>0</v>
      </c>
      <c r="F229" s="11">
        <f>'[2]tiempos Perdidos IBERPLAST'!J13</f>
        <v>0</v>
      </c>
      <c r="G229" s="11">
        <f>'[2]tiempos Perdidos IBERPLAST'!J14</f>
        <v>0</v>
      </c>
      <c r="H229" s="11">
        <f>'[2]tiempos Perdidos IBERPLAST'!J15</f>
        <v>5</v>
      </c>
    </row>
    <row r="230" spans="1:8" ht="21">
      <c r="A230" s="10">
        <v>40492</v>
      </c>
      <c r="B230" s="11">
        <f>'[2]tiempos Perdidos IBERPLAST'!K9</f>
        <v>15</v>
      </c>
      <c r="C230" s="11">
        <f>'[2]tiempos Perdidos IBERPLAST'!K10</f>
        <v>3</v>
      </c>
      <c r="D230" s="11">
        <f>'[2]tiempos Perdidos IBERPLAST'!K11</f>
        <v>0</v>
      </c>
      <c r="E230" s="11">
        <f>'[2]tiempos Perdidos IBERPLAST'!K12</f>
        <v>10</v>
      </c>
      <c r="F230" s="11">
        <f>'[2]tiempos Perdidos IBERPLAST'!K13</f>
        <v>36</v>
      </c>
      <c r="G230" s="11">
        <f>'[2]tiempos Perdidos IBERPLAST'!K14</f>
        <v>0</v>
      </c>
      <c r="H230" s="11">
        <f>'[2]tiempos Perdidos IBERPLAST'!K15</f>
        <v>0</v>
      </c>
    </row>
    <row r="231" spans="1:8" ht="21">
      <c r="A231" s="10">
        <v>40493</v>
      </c>
      <c r="B231" s="11">
        <f>'[2]tiempos Perdidos IBERPLAST'!L9</f>
        <v>12</v>
      </c>
      <c r="C231" s="11">
        <f>'[2]tiempos Perdidos IBERPLAST'!L10</f>
        <v>2</v>
      </c>
      <c r="D231" s="11">
        <f>'[2]tiempos Perdidos IBERPLAST'!L11</f>
        <v>20</v>
      </c>
      <c r="E231" s="11">
        <f>'[2]tiempos Perdidos IBERPLAST'!L12</f>
        <v>10</v>
      </c>
      <c r="F231" s="11">
        <f>'[2]tiempos Perdidos IBERPLAST'!L13</f>
        <v>66</v>
      </c>
      <c r="G231" s="11">
        <f>'[2]tiempos Perdidos IBERPLAST'!L14</f>
        <v>0</v>
      </c>
      <c r="H231" s="11">
        <f>'[2]tiempos Perdidos IBERPLAST'!L15</f>
        <v>5</v>
      </c>
    </row>
    <row r="232" spans="1:8" ht="21">
      <c r="A232" s="10">
        <v>40494</v>
      </c>
      <c r="B232" s="11">
        <f>'[2]tiempos Perdidos IBERPLAST'!M9</f>
        <v>93</v>
      </c>
      <c r="C232" s="11">
        <f>'[2]tiempos Perdidos IBERPLAST'!M10</f>
        <v>20</v>
      </c>
      <c r="D232" s="11">
        <f>'[2]tiempos Perdidos IBERPLAST'!M11</f>
        <v>0</v>
      </c>
      <c r="E232" s="11">
        <f>'[2]tiempos Perdidos IBERPLAST'!M12</f>
        <v>335</v>
      </c>
      <c r="F232" s="11">
        <f>'[2]tiempos Perdidos IBERPLAST'!M13</f>
        <v>368</v>
      </c>
      <c r="G232" s="11">
        <f>'[2]tiempos Perdidos IBERPLAST'!M14</f>
        <v>0</v>
      </c>
      <c r="H232" s="11">
        <f>'[2]tiempos Perdidos IBERPLAST'!M15</f>
        <v>0</v>
      </c>
    </row>
    <row r="233" spans="1:8" ht="21">
      <c r="A233" s="10">
        <v>40495</v>
      </c>
      <c r="B233" s="11">
        <f>'[2]tiempos Perdidos IBERPLAST'!N9</f>
        <v>0</v>
      </c>
      <c r="C233" s="11">
        <f>'[2]tiempos Perdidos IBERPLAST'!N10</f>
        <v>3</v>
      </c>
      <c r="D233" s="11">
        <f>'[2]tiempos Perdidos IBERPLAST'!N11</f>
        <v>0</v>
      </c>
      <c r="E233" s="11">
        <f>'[2]tiempos Perdidos IBERPLAST'!N12</f>
        <v>0</v>
      </c>
      <c r="F233" s="11">
        <f>'[2]tiempos Perdidos IBERPLAST'!N13</f>
        <v>33</v>
      </c>
      <c r="G233" s="11">
        <f>'[2]tiempos Perdidos IBERPLAST'!N14</f>
        <v>0</v>
      </c>
      <c r="H233" s="11">
        <f>'[2]tiempos Perdidos IBERPLAST'!N15</f>
        <v>25</v>
      </c>
    </row>
    <row r="234" spans="1:8" ht="21">
      <c r="A234" s="10">
        <v>40496</v>
      </c>
      <c r="B234" s="11">
        <f>'[2]tiempos Perdidos IBERPLAST'!O9</f>
        <v>0</v>
      </c>
      <c r="C234" s="11">
        <f>'[2]tiempos Perdidos IBERPLAST'!O10</f>
        <v>0</v>
      </c>
      <c r="D234" s="11">
        <f>'[2]tiempos Perdidos IBERPLAST'!O11</f>
        <v>0</v>
      </c>
      <c r="E234" s="11">
        <f>'[2]tiempos Perdidos IBERPLAST'!O12</f>
        <v>59</v>
      </c>
      <c r="F234" s="11">
        <f>'[2]tiempos Perdidos IBERPLAST'!O13</f>
        <v>8</v>
      </c>
      <c r="G234" s="11">
        <f>'[2]tiempos Perdidos IBERPLAST'!O14</f>
        <v>0</v>
      </c>
      <c r="H234" s="11">
        <f>'[2]tiempos Perdidos IBERPLAST'!O15</f>
        <v>0</v>
      </c>
    </row>
    <row r="235" spans="1:8" ht="21">
      <c r="A235" s="10">
        <v>40497</v>
      </c>
      <c r="B235" s="11">
        <f>'[2]tiempos Perdidos IBERPLAST'!P9</f>
        <v>0</v>
      </c>
      <c r="C235" s="11">
        <f>'[2]tiempos Perdidos IBERPLAST'!P10</f>
        <v>35</v>
      </c>
      <c r="D235" s="11">
        <f>'[2]tiempos Perdidos IBERPLAST'!P11</f>
        <v>0</v>
      </c>
      <c r="E235" s="11">
        <f>'[2]tiempos Perdidos IBERPLAST'!P12</f>
        <v>22</v>
      </c>
      <c r="F235" s="11">
        <f>'[2]tiempos Perdidos IBERPLAST'!P13</f>
        <v>0</v>
      </c>
      <c r="G235" s="11">
        <f>'[2]tiempos Perdidos IBERPLAST'!P14</f>
        <v>0</v>
      </c>
      <c r="H235" s="11">
        <f>'[2]tiempos Perdidos IBERPLAST'!P15</f>
        <v>10</v>
      </c>
    </row>
    <row r="236" spans="1:8" ht="21">
      <c r="A236" s="10">
        <v>40498</v>
      </c>
      <c r="B236" s="11">
        <f>'[2]tiempos Perdidos IBERPLAST'!Q9</f>
        <v>22</v>
      </c>
      <c r="C236" s="11">
        <f>'[2]tiempos Perdidos IBERPLAST'!Q10</f>
        <v>12</v>
      </c>
      <c r="D236" s="11">
        <f>'[2]tiempos Perdidos IBERPLAST'!Q11</f>
        <v>0</v>
      </c>
      <c r="E236" s="11">
        <f>'[2]tiempos Perdidos IBERPLAST'!Q12</f>
        <v>205</v>
      </c>
      <c r="F236" s="11">
        <f>'[2]tiempos Perdidos IBERPLAST'!Q13</f>
        <v>5</v>
      </c>
      <c r="G236" s="11">
        <f>'[2]tiempos Perdidos IBERPLAST'!Q14</f>
        <v>0</v>
      </c>
      <c r="H236" s="11">
        <f>'[2]tiempos Perdidos IBERPLAST'!Q15</f>
        <v>7</v>
      </c>
    </row>
    <row r="237" spans="1:8" ht="21">
      <c r="A237" s="10">
        <v>40499</v>
      </c>
      <c r="B237" s="11">
        <f>'[2]tiempos Perdidos IBERPLAST'!R9</f>
        <v>70</v>
      </c>
      <c r="C237" s="11">
        <f>'[2]tiempos Perdidos IBERPLAST'!R10</f>
        <v>7</v>
      </c>
      <c r="D237" s="11">
        <f>'[2]tiempos Perdidos IBERPLAST'!R11</f>
        <v>25</v>
      </c>
      <c r="E237" s="11">
        <f>'[2]tiempos Perdidos IBERPLAST'!R12</f>
        <v>0</v>
      </c>
      <c r="F237" s="11">
        <f>'[2]tiempos Perdidos IBERPLAST'!R13</f>
        <v>0</v>
      </c>
      <c r="G237" s="11">
        <f>'[2]tiempos Perdidos IBERPLAST'!S14</f>
        <v>0</v>
      </c>
      <c r="H237" s="11">
        <f>'[2]tiempos Perdidos IBERPLAST'!R15</f>
        <v>17</v>
      </c>
    </row>
    <row r="238" spans="1:8" ht="21">
      <c r="A238" s="10">
        <v>40500</v>
      </c>
      <c r="B238" s="11">
        <f>'[2]tiempos Perdidos IBERPLAST'!S9</f>
        <v>208</v>
      </c>
      <c r="C238" s="11">
        <f>'[2]tiempos Perdidos IBERPLAST'!S10</f>
        <v>32</v>
      </c>
      <c r="D238" s="11">
        <f>'[2]tiempos Perdidos IBERPLAST'!S11</f>
        <v>0</v>
      </c>
      <c r="E238" s="11">
        <f>'[2]tiempos Perdidos IBERPLAST'!S12</f>
        <v>10</v>
      </c>
      <c r="F238" s="11">
        <f>'[2]tiempos Perdidos IBERPLAST'!S13</f>
        <v>0</v>
      </c>
      <c r="G238" s="11">
        <f>'[2]tiempos Perdidos IBERPLAST'!S14</f>
        <v>0</v>
      </c>
      <c r="H238" s="11">
        <f>'[2]tiempos Perdidos IBERPLAST'!S15</f>
        <v>0</v>
      </c>
    </row>
    <row r="239" spans="1:8" ht="21">
      <c r="A239" s="10">
        <v>40501</v>
      </c>
      <c r="B239" s="11">
        <f>'[2]tiempos Perdidos IBERPLAST'!T9</f>
        <v>56</v>
      </c>
      <c r="C239" s="11">
        <f>'[2]tiempos Perdidos IBERPLAST'!T10</f>
        <v>0</v>
      </c>
      <c r="D239" s="11">
        <f>'[2]tiempos Perdidos IBERPLAST'!T11</f>
        <v>130</v>
      </c>
      <c r="E239" s="11">
        <f>'[2]tiempos Perdidos IBERPLAST'!T12</f>
        <v>0</v>
      </c>
      <c r="F239" s="11">
        <f>'[2]tiempos Perdidos IBERPLAST'!T13</f>
        <v>0</v>
      </c>
      <c r="G239" s="11">
        <f>'[2]tiempos Perdidos IBERPLAST'!T14</f>
        <v>0</v>
      </c>
      <c r="H239" s="11">
        <f>'[2]tiempos Perdidos IBERPLAST'!T15</f>
        <v>0</v>
      </c>
    </row>
    <row r="240" spans="1:8" ht="21">
      <c r="A240" s="10">
        <v>40502</v>
      </c>
      <c r="B240" s="11">
        <f>'[2]tiempos Perdidos IBERPLAST'!U9</f>
        <v>0</v>
      </c>
      <c r="C240" s="11">
        <f>'[2]tiempos Perdidos IBERPLAST'!U10</f>
        <v>0</v>
      </c>
      <c r="D240" s="11">
        <f>'[2]tiempos Perdidos IBERPLAST'!U11</f>
        <v>150</v>
      </c>
      <c r="E240" s="11">
        <f>'[2]tiempos Perdidos IBERPLAST'!U12</f>
        <v>33</v>
      </c>
      <c r="F240" s="11">
        <f>'[2]tiempos Perdidos IBERPLAST'!U13</f>
        <v>0</v>
      </c>
      <c r="G240" s="11">
        <f>'[2]tiempos Perdidos IBERPLAST'!U14</f>
        <v>0</v>
      </c>
      <c r="H240" s="11">
        <f>'[2]tiempos Perdidos IBERPLAST'!U15</f>
        <v>4</v>
      </c>
    </row>
    <row r="241" spans="1:8" ht="21">
      <c r="A241" s="10">
        <v>40503</v>
      </c>
      <c r="B241" s="11">
        <f>'[2]tiempos Perdidos IBERPLAST'!V9</f>
        <v>0</v>
      </c>
      <c r="C241" s="11">
        <f>'[2]tiempos Perdidos IBERPLAST'!V10</f>
        <v>0</v>
      </c>
      <c r="D241" s="11">
        <f>'[2]tiempos Perdidos IBERPLAST'!V11</f>
        <v>0</v>
      </c>
      <c r="E241" s="11">
        <f>'[2]tiempos Perdidos IBERPLAST'!V12</f>
        <v>0</v>
      </c>
      <c r="F241" s="11">
        <f>'[2]tiempos Perdidos IBERPLAST'!V13</f>
        <v>0</v>
      </c>
      <c r="G241" s="11">
        <f>'[2]tiempos Perdidos IBERPLAST'!V14</f>
        <v>0</v>
      </c>
      <c r="H241" s="11">
        <f>'[2]tiempos Perdidos IBERPLAST'!V15</f>
        <v>0</v>
      </c>
    </row>
    <row r="242" spans="1:8" ht="21">
      <c r="A242" s="10">
        <v>40504</v>
      </c>
      <c r="B242" s="11">
        <f>'[2]tiempos Perdidos IBERPLAST'!W9</f>
        <v>24</v>
      </c>
      <c r="C242" s="11">
        <f>'[2]tiempos Perdidos IBERPLAST'!W10</f>
        <v>24</v>
      </c>
      <c r="D242" s="11">
        <f>'[2]tiempos Perdidos IBERPLAST'!W11</f>
        <v>0</v>
      </c>
      <c r="E242" s="11">
        <f>'[2]tiempos Perdidos IBERPLAST'!W12</f>
        <v>60</v>
      </c>
      <c r="F242" s="11">
        <f>'[2]tiempos Perdidos IBERPLAST'!W13</f>
        <v>0</v>
      </c>
      <c r="G242" s="11">
        <f>'[2]tiempos Perdidos IBERPLAST'!W14</f>
        <v>0</v>
      </c>
      <c r="H242" s="11">
        <f>'[2]tiempos Perdidos IBERPLAST'!W15</f>
        <v>5</v>
      </c>
    </row>
    <row r="243" spans="1:8" ht="21">
      <c r="A243" s="10">
        <v>40505</v>
      </c>
      <c r="B243" s="11">
        <f>'[2]tiempos Perdidos IBERPLAST'!X9</f>
        <v>6</v>
      </c>
      <c r="C243" s="11">
        <f>'[2]tiempos Perdidos IBERPLAST'!X10</f>
        <v>5</v>
      </c>
      <c r="D243" s="11">
        <f>'[2]tiempos Perdidos IBERPLAST'!X11</f>
        <v>0</v>
      </c>
      <c r="E243" s="11">
        <f>'[2]tiempos Perdidos IBERPLAST'!X12</f>
        <v>10</v>
      </c>
      <c r="F243" s="11">
        <f>'[2]tiempos Perdidos IBERPLAST'!X13</f>
        <v>0</v>
      </c>
      <c r="G243" s="11">
        <f>'[2]tiempos Perdidos IBERPLAST'!X14</f>
        <v>0</v>
      </c>
      <c r="H243" s="11">
        <f>'[2]tiempos Perdidos IBERPLAST'!X15</f>
        <v>39</v>
      </c>
    </row>
    <row r="244" spans="1:8" ht="21">
      <c r="A244" s="10">
        <v>40506</v>
      </c>
      <c r="B244" s="11">
        <f>'[2]tiempos Perdidos IBERPLAST'!Y9</f>
        <v>280</v>
      </c>
      <c r="C244" s="11">
        <f>'[2]tiempos Perdidos IBERPLAST'!Y10</f>
        <v>32</v>
      </c>
      <c r="D244" s="11">
        <f>'[2]tiempos Perdidos IBERPLAST'!Y11</f>
        <v>0</v>
      </c>
      <c r="E244" s="11">
        <f>'[2]tiempos Perdidos IBERPLAST'!Y12</f>
        <v>10</v>
      </c>
      <c r="F244" s="11">
        <f>+'[2]tiempos Perdidos IBERPLAST'!Y13</f>
        <v>0</v>
      </c>
      <c r="G244" s="11">
        <f>+'[2]tiempos Perdidos IBERPLAST'!Y14</f>
        <v>0</v>
      </c>
      <c r="H244" s="11">
        <f>+'[2]tiempos Perdidos IBERPLAST'!Y15</f>
        <v>3</v>
      </c>
    </row>
    <row r="245" spans="1:8" ht="21">
      <c r="A245" s="10">
        <v>40507</v>
      </c>
      <c r="B245" s="11">
        <f>+'[2]tiempos Perdidos IBERPLAST'!Z9</f>
        <v>101</v>
      </c>
      <c r="C245" s="11">
        <f>+'[2]tiempos Perdidos IBERPLAST'!Z10</f>
        <v>5</v>
      </c>
      <c r="D245" s="11">
        <f>+'[2]tiempos Perdidos IBERPLAST'!Z11</f>
        <v>37</v>
      </c>
      <c r="E245" s="11">
        <f>+'[2]tiempos Perdidos IBERPLAST'!Z12</f>
        <v>0</v>
      </c>
      <c r="F245" s="11">
        <f>+'[2]tiempos Perdidos IBERPLAST'!Z13</f>
        <v>0</v>
      </c>
      <c r="G245" s="11">
        <f>+'[2]tiempos Perdidos IBERPLAST'!Z14</f>
        <v>0</v>
      </c>
      <c r="H245" s="11">
        <f>+'[2]tiempos Perdidos IBERPLAST'!Z15</f>
        <v>59</v>
      </c>
    </row>
    <row r="246" spans="1:8" ht="21">
      <c r="A246" s="10">
        <v>40508</v>
      </c>
      <c r="B246" s="11">
        <f>+'[2]tiempos Perdidos IBERPLAST'!AA9</f>
        <v>0</v>
      </c>
      <c r="C246" s="11">
        <f>+'[2]tiempos Perdidos IBERPLAST'!AA10</f>
        <v>5</v>
      </c>
      <c r="D246" s="11">
        <f>+'[2]tiempos Perdidos IBERPLAST'!AA11</f>
        <v>21</v>
      </c>
      <c r="E246" s="11">
        <f>+'[2]tiempos Perdidos IBERPLAST'!AA12</f>
        <v>259</v>
      </c>
      <c r="F246" s="11">
        <f>+'[2]tiempos Perdidos IBERPLAST'!AA13</f>
        <v>0</v>
      </c>
      <c r="G246" s="11">
        <f>+'[2]tiempos Perdidos IBERPLAST'!AA14</f>
        <v>0</v>
      </c>
      <c r="H246" s="11">
        <f>+'[2]tiempos Perdidos IBERPLAST'!AA15</f>
        <v>0</v>
      </c>
    </row>
    <row r="247" spans="1:8" ht="21">
      <c r="A247" s="10">
        <v>40509</v>
      </c>
      <c r="B247" s="11">
        <f>+'[2]tiempos Perdidos IBERPLAST'!AB9</f>
        <v>0</v>
      </c>
      <c r="C247" s="11">
        <f>+'[2]tiempos Perdidos IBERPLAST'!AB10</f>
        <v>2</v>
      </c>
      <c r="D247" s="11">
        <f>+'[2]tiempos Perdidos IBERPLAST'!AB11</f>
        <v>0</v>
      </c>
      <c r="E247" s="11">
        <f>+'[2]tiempos Perdidos IBERPLAST'!AB12</f>
        <v>0</v>
      </c>
      <c r="F247" s="11">
        <f>+'[2]tiempos Perdidos IBERPLAST'!AB13</f>
        <v>0</v>
      </c>
      <c r="G247" s="11">
        <f>+'[2]tiempos Perdidos IBERPLAST'!AB14</f>
        <v>0</v>
      </c>
      <c r="H247" s="11">
        <f>+'[2]tiempos Perdidos IBERPLAST'!AB15</f>
        <v>0</v>
      </c>
    </row>
    <row r="248" spans="1:8" ht="21">
      <c r="A248" s="10">
        <v>40510</v>
      </c>
      <c r="B248" s="11">
        <f>+'[2]tiempos Perdidos IBERPLAST'!AC9</f>
        <v>0</v>
      </c>
      <c r="C248" s="11">
        <f>+'[2]tiempos Perdidos IBERPLAST'!AC10</f>
        <v>5</v>
      </c>
      <c r="D248" s="11">
        <f>+'[2]tiempos Perdidos IBERPLAST'!AC11</f>
        <v>0</v>
      </c>
      <c r="E248" s="11">
        <f>+'[2]tiempos Perdidos IBERPLAST'!AC12</f>
        <v>13</v>
      </c>
      <c r="F248" s="11">
        <f>+'[2]tiempos Perdidos IBERPLAST'!AC13</f>
        <v>0</v>
      </c>
      <c r="G248" s="11">
        <f>+'[2]tiempos Perdidos IBERPLAST'!AC14</f>
        <v>0</v>
      </c>
      <c r="H248" s="11">
        <f>+'[2]tiempos Perdidos IBERPLAST'!AC15</f>
        <v>0</v>
      </c>
    </row>
    <row r="249" spans="1:8" ht="21">
      <c r="A249" s="10">
        <v>40511</v>
      </c>
      <c r="B249" s="11">
        <f>+'[2]tiempos Perdidos IBERPLAST'!AD9</f>
        <v>0</v>
      </c>
      <c r="C249" s="11">
        <f>+'[2]tiempos Perdidos IBERPLAST'!AD10</f>
        <v>12</v>
      </c>
      <c r="D249" s="11">
        <f>+'[2]tiempos Perdidos IBERPLAST'!AD11</f>
        <v>0</v>
      </c>
      <c r="E249" s="11">
        <f>+'[2]tiempos Perdidos IBERPLAST'!AD12</f>
        <v>0</v>
      </c>
      <c r="F249" s="11">
        <f>+'[2]tiempos Perdidos IBERPLAST'!AD13</f>
        <v>20</v>
      </c>
      <c r="G249" s="11">
        <f>+'[2]tiempos Perdidos IBERPLAST'!AD14</f>
        <v>0</v>
      </c>
      <c r="H249" s="11">
        <f>+'[2]tiempos Perdidos IBERPLAST'!AD15</f>
        <v>0</v>
      </c>
    </row>
    <row r="250" spans="1:8" ht="21">
      <c r="A250" s="10">
        <v>40512</v>
      </c>
      <c r="B250" s="11">
        <f>+'[2]tiempos Perdidos IBERPLAST'!AE9</f>
        <v>0</v>
      </c>
      <c r="C250" s="11">
        <f>+'[2]tiempos Perdidos IBERPLAST'!AE10</f>
        <v>17</v>
      </c>
      <c r="D250" s="11">
        <f>+'[2]tiempos Perdidos IBERPLAST'!AE11</f>
        <v>0</v>
      </c>
      <c r="E250" s="11">
        <f>+'[2]tiempos Perdidos IBERPLAST'!AE12</f>
        <v>15</v>
      </c>
      <c r="F250" s="11">
        <f>+'[2]tiempos Perdidos IBERPLAST'!AE13</f>
        <v>437</v>
      </c>
      <c r="G250" s="11">
        <f>+'[2]tiempos Perdidos IBERPLAST'!AE14</f>
        <v>0</v>
      </c>
      <c r="H250" s="11">
        <f>+'[2]tiempos Perdidos IBERPLAST'!AE15</f>
        <v>0</v>
      </c>
    </row>
    <row r="251" spans="1:8" ht="21.75" thickBot="1">
      <c r="A251" s="10">
        <v>40513</v>
      </c>
      <c r="B251" s="12"/>
      <c r="C251" s="12"/>
      <c r="D251" s="12"/>
      <c r="E251" s="12"/>
      <c r="F251" s="12"/>
      <c r="G251" s="12"/>
      <c r="H251" s="12"/>
    </row>
    <row r="252" spans="1:8" ht="24.75" thickTop="1" thickBot="1">
      <c r="A252" s="13" t="s">
        <v>9</v>
      </c>
      <c r="B252" s="14">
        <f t="shared" ref="B252:H252" si="5">SUM(B221:B251)</f>
        <v>1123</v>
      </c>
      <c r="C252" s="14">
        <f t="shared" si="5"/>
        <v>392</v>
      </c>
      <c r="D252" s="14">
        <f t="shared" si="5"/>
        <v>413</v>
      </c>
      <c r="E252" s="14">
        <f t="shared" si="5"/>
        <v>1309</v>
      </c>
      <c r="F252" s="14">
        <f t="shared" si="5"/>
        <v>1046</v>
      </c>
      <c r="G252" s="14">
        <f t="shared" si="5"/>
        <v>0</v>
      </c>
      <c r="H252" s="14">
        <f t="shared" si="5"/>
        <v>195</v>
      </c>
    </row>
    <row r="253" spans="1:8" ht="15.75" thickTop="1"/>
    <row r="254" spans="1:8" ht="15.75" thickBot="1"/>
    <row r="255" spans="1:8" ht="15.75" thickTop="1">
      <c r="A255" s="127" t="s">
        <v>0</v>
      </c>
      <c r="B255" s="127" t="s">
        <v>1</v>
      </c>
      <c r="C255" s="127" t="s">
        <v>2</v>
      </c>
      <c r="D255" s="127" t="s">
        <v>10</v>
      </c>
      <c r="E255" s="127" t="s">
        <v>11</v>
      </c>
      <c r="F255" s="127" t="s">
        <v>12</v>
      </c>
      <c r="G255" s="127" t="s">
        <v>14</v>
      </c>
      <c r="H255" s="127" t="s">
        <v>15</v>
      </c>
    </row>
    <row r="256" spans="1:8" ht="15.75" thickBot="1">
      <c r="A256" s="128"/>
      <c r="B256" s="128"/>
      <c r="C256" s="128"/>
      <c r="D256" s="128"/>
      <c r="E256" s="128"/>
      <c r="F256" s="128"/>
      <c r="G256" s="128"/>
      <c r="H256" s="128"/>
    </row>
    <row r="257" spans="1:8" ht="21.75" thickTop="1">
      <c r="A257" s="8">
        <v>40452</v>
      </c>
      <c r="B257" s="9">
        <v>41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1</v>
      </c>
    </row>
    <row r="258" spans="1:8" ht="21">
      <c r="A258" s="10">
        <v>40453</v>
      </c>
      <c r="B258" s="11">
        <v>810</v>
      </c>
      <c r="C258" s="11">
        <v>0</v>
      </c>
      <c r="D258" s="11">
        <v>18</v>
      </c>
      <c r="E258" s="11">
        <v>0</v>
      </c>
      <c r="F258" s="11">
        <v>0</v>
      </c>
      <c r="G258" s="11">
        <v>0</v>
      </c>
      <c r="H258" s="11">
        <v>0</v>
      </c>
    </row>
    <row r="259" spans="1:8" ht="21">
      <c r="A259" s="10">
        <v>40454</v>
      </c>
      <c r="B259" s="11">
        <v>180</v>
      </c>
      <c r="C259" s="11">
        <v>0</v>
      </c>
      <c r="D259" s="11">
        <v>0</v>
      </c>
      <c r="E259" s="11">
        <v>30</v>
      </c>
      <c r="F259" s="11">
        <v>12</v>
      </c>
      <c r="G259" s="11">
        <v>0</v>
      </c>
      <c r="H259" s="11">
        <v>0</v>
      </c>
    </row>
    <row r="260" spans="1:8" ht="21">
      <c r="A260" s="10">
        <v>40455</v>
      </c>
      <c r="B260" s="11">
        <v>52</v>
      </c>
      <c r="C260" s="11">
        <v>0</v>
      </c>
      <c r="D260" s="11">
        <v>0</v>
      </c>
      <c r="E260" s="11">
        <v>115</v>
      </c>
      <c r="F260" s="11">
        <v>220</v>
      </c>
      <c r="G260" s="11">
        <v>0</v>
      </c>
      <c r="H260" s="11">
        <v>0</v>
      </c>
    </row>
    <row r="261" spans="1:8" ht="21">
      <c r="A261" s="10">
        <v>40456</v>
      </c>
      <c r="B261" s="11">
        <v>55</v>
      </c>
      <c r="C261" s="11">
        <v>0</v>
      </c>
      <c r="D261" s="11">
        <v>0</v>
      </c>
      <c r="E261" s="11">
        <v>10</v>
      </c>
      <c r="F261" s="11">
        <v>160</v>
      </c>
      <c r="G261" s="11">
        <v>5</v>
      </c>
      <c r="H261" s="11">
        <v>3</v>
      </c>
    </row>
    <row r="262" spans="1:8" ht="21">
      <c r="A262" s="10">
        <v>40457</v>
      </c>
      <c r="B262" s="11">
        <v>21</v>
      </c>
      <c r="C262" s="11">
        <v>20</v>
      </c>
      <c r="D262" s="11">
        <v>0</v>
      </c>
      <c r="E262" s="11">
        <v>42</v>
      </c>
      <c r="F262" s="11">
        <v>0</v>
      </c>
      <c r="G262" s="11">
        <v>0</v>
      </c>
      <c r="H262" s="11">
        <v>2</v>
      </c>
    </row>
    <row r="263" spans="1:8" ht="21">
      <c r="A263" s="10">
        <v>40458</v>
      </c>
      <c r="B263" s="11">
        <v>21</v>
      </c>
      <c r="C263" s="11">
        <v>0</v>
      </c>
      <c r="D263" s="11">
        <v>0</v>
      </c>
      <c r="E263" s="11">
        <v>29</v>
      </c>
      <c r="F263" s="11">
        <v>0</v>
      </c>
      <c r="G263" s="11">
        <v>0</v>
      </c>
      <c r="H263" s="11">
        <v>10</v>
      </c>
    </row>
    <row r="264" spans="1:8" ht="21">
      <c r="A264" s="10">
        <v>40459</v>
      </c>
      <c r="B264" s="11">
        <v>18</v>
      </c>
      <c r="C264" s="11">
        <v>18</v>
      </c>
      <c r="D264" s="11">
        <v>0</v>
      </c>
      <c r="E264" s="11">
        <v>0</v>
      </c>
      <c r="F264" s="11">
        <v>0</v>
      </c>
      <c r="G264" s="11">
        <v>0</v>
      </c>
      <c r="H264" s="11">
        <v>20</v>
      </c>
    </row>
    <row r="265" spans="1:8" ht="21">
      <c r="A265" s="10">
        <v>40460</v>
      </c>
      <c r="B265" s="11">
        <v>7</v>
      </c>
      <c r="C265" s="11">
        <v>3</v>
      </c>
      <c r="D265" s="11">
        <v>18</v>
      </c>
      <c r="E265" s="11">
        <v>90</v>
      </c>
      <c r="F265" s="11">
        <v>0</v>
      </c>
      <c r="G265" s="11">
        <v>0</v>
      </c>
      <c r="H265" s="11">
        <v>0</v>
      </c>
    </row>
    <row r="266" spans="1:8" ht="21">
      <c r="A266" s="10">
        <v>40461</v>
      </c>
      <c r="B266" s="11">
        <v>0</v>
      </c>
      <c r="C266" s="11">
        <v>0</v>
      </c>
      <c r="D266" s="11">
        <v>0</v>
      </c>
      <c r="E266" s="11">
        <v>0</v>
      </c>
      <c r="F266" s="11">
        <v>0</v>
      </c>
      <c r="G266" s="11">
        <v>0</v>
      </c>
      <c r="H266" s="11">
        <v>0</v>
      </c>
    </row>
    <row r="267" spans="1:8" ht="21">
      <c r="A267" s="10">
        <v>40462</v>
      </c>
      <c r="B267" s="11">
        <v>195</v>
      </c>
      <c r="C267" s="11">
        <v>7</v>
      </c>
      <c r="D267" s="11">
        <v>0</v>
      </c>
      <c r="E267" s="11">
        <v>0</v>
      </c>
      <c r="F267" s="11">
        <v>0</v>
      </c>
      <c r="G267" s="11">
        <v>0</v>
      </c>
      <c r="H267" s="11">
        <v>2</v>
      </c>
    </row>
    <row r="268" spans="1:8" ht="21">
      <c r="A268" s="10">
        <v>40463</v>
      </c>
      <c r="B268" s="11">
        <v>35</v>
      </c>
      <c r="C268" s="11">
        <v>0</v>
      </c>
      <c r="D268" s="11">
        <v>0</v>
      </c>
      <c r="E268" s="11">
        <v>6</v>
      </c>
      <c r="F268" s="11">
        <v>0</v>
      </c>
      <c r="G268" s="11">
        <v>2</v>
      </c>
      <c r="H268" s="11">
        <v>0</v>
      </c>
    </row>
    <row r="269" spans="1:8" ht="21">
      <c r="A269" s="10">
        <v>40464</v>
      </c>
      <c r="B269" s="11">
        <v>3</v>
      </c>
      <c r="C269" s="11">
        <v>0</v>
      </c>
      <c r="D269" s="11">
        <v>0</v>
      </c>
      <c r="E269" s="11">
        <v>16</v>
      </c>
      <c r="F269" s="11">
        <v>0</v>
      </c>
      <c r="G269" s="11">
        <v>5</v>
      </c>
      <c r="H269" s="11">
        <v>15</v>
      </c>
    </row>
    <row r="270" spans="1:8" ht="21">
      <c r="A270" s="10">
        <v>40465</v>
      </c>
      <c r="B270" s="11">
        <v>0</v>
      </c>
      <c r="C270" s="11">
        <v>0</v>
      </c>
      <c r="D270" s="11">
        <v>86</v>
      </c>
      <c r="E270" s="11">
        <v>22</v>
      </c>
      <c r="F270" s="11">
        <v>0</v>
      </c>
      <c r="G270" s="11">
        <v>0</v>
      </c>
      <c r="H270" s="11">
        <v>0</v>
      </c>
    </row>
    <row r="271" spans="1:8" ht="21">
      <c r="A271" s="10">
        <v>40466</v>
      </c>
      <c r="B271" s="11">
        <v>18</v>
      </c>
      <c r="C271" s="11">
        <v>0</v>
      </c>
      <c r="D271" s="11">
        <v>75</v>
      </c>
      <c r="E271" s="11">
        <v>10</v>
      </c>
      <c r="F271" s="11">
        <v>0</v>
      </c>
      <c r="G271" s="11">
        <v>0</v>
      </c>
      <c r="H271" s="11">
        <v>9</v>
      </c>
    </row>
    <row r="272" spans="1:8" ht="21">
      <c r="A272" s="10">
        <v>40467</v>
      </c>
      <c r="B272" s="11">
        <v>0</v>
      </c>
      <c r="C272" s="11">
        <v>20</v>
      </c>
      <c r="D272" s="11">
        <v>9</v>
      </c>
      <c r="E272" s="11">
        <v>0</v>
      </c>
      <c r="F272" s="11">
        <v>0</v>
      </c>
      <c r="G272" s="11">
        <v>0</v>
      </c>
      <c r="H272" s="11">
        <v>28</v>
      </c>
    </row>
    <row r="273" spans="1:8" ht="21">
      <c r="A273" s="10">
        <v>40468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</row>
    <row r="274" spans="1:8" ht="21">
      <c r="A274" s="10">
        <v>40469</v>
      </c>
      <c r="B274" s="11">
        <v>0</v>
      </c>
      <c r="C274" s="11">
        <v>0</v>
      </c>
      <c r="D274" s="11">
        <v>0</v>
      </c>
      <c r="E274" s="11">
        <v>0</v>
      </c>
      <c r="F274" s="11">
        <f>9+18</f>
        <v>27</v>
      </c>
      <c r="G274" s="11">
        <v>0</v>
      </c>
      <c r="H274" s="11">
        <v>0</v>
      </c>
    </row>
    <row r="275" spans="1:8" ht="21">
      <c r="A275" s="10">
        <v>40470</v>
      </c>
      <c r="B275" s="11">
        <v>16</v>
      </c>
      <c r="C275" s="11">
        <v>6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</row>
    <row r="276" spans="1:8" ht="21">
      <c r="A276" s="10">
        <v>40471</v>
      </c>
      <c r="B276" s="11">
        <v>4</v>
      </c>
      <c r="C276" s="11">
        <v>0</v>
      </c>
      <c r="D276" s="11">
        <v>0</v>
      </c>
      <c r="E276" s="11">
        <v>8</v>
      </c>
      <c r="F276" s="11">
        <v>0</v>
      </c>
      <c r="G276" s="11">
        <v>0</v>
      </c>
      <c r="H276" s="11">
        <v>11</v>
      </c>
    </row>
    <row r="277" spans="1:8" ht="21">
      <c r="A277" s="10">
        <v>40472</v>
      </c>
      <c r="B277" s="11">
        <v>0</v>
      </c>
      <c r="C277" s="11">
        <v>12</v>
      </c>
      <c r="D277" s="11">
        <v>0</v>
      </c>
      <c r="E277" s="11">
        <v>8</v>
      </c>
      <c r="F277" s="11">
        <v>0</v>
      </c>
      <c r="G277" s="11">
        <v>0</v>
      </c>
      <c r="H277" s="11">
        <v>0</v>
      </c>
    </row>
    <row r="278" spans="1:8" ht="21">
      <c r="A278" s="10">
        <v>40473</v>
      </c>
      <c r="B278" s="11">
        <v>7</v>
      </c>
      <c r="C278" s="11">
        <v>0</v>
      </c>
      <c r="D278" s="11">
        <v>0</v>
      </c>
      <c r="E278" s="11">
        <v>33</v>
      </c>
      <c r="F278" s="11">
        <v>0</v>
      </c>
      <c r="G278" s="11">
        <v>0</v>
      </c>
      <c r="H278" s="11">
        <v>9</v>
      </c>
    </row>
    <row r="279" spans="1:8" ht="21">
      <c r="A279" s="10">
        <v>40474</v>
      </c>
      <c r="B279" s="11">
        <v>0</v>
      </c>
      <c r="C279" s="11">
        <v>0</v>
      </c>
      <c r="D279" s="11">
        <v>0</v>
      </c>
      <c r="E279" s="11">
        <v>0</v>
      </c>
      <c r="F279" s="11">
        <v>0</v>
      </c>
      <c r="G279" s="11">
        <v>0</v>
      </c>
      <c r="H279" s="11">
        <v>10</v>
      </c>
    </row>
    <row r="280" spans="1:8" ht="21">
      <c r="A280" s="10">
        <v>40475</v>
      </c>
      <c r="B280" s="11">
        <v>0</v>
      </c>
      <c r="C280" s="11">
        <v>0</v>
      </c>
      <c r="D280" s="11">
        <v>0</v>
      </c>
      <c r="E280" s="11">
        <v>0</v>
      </c>
      <c r="F280" s="11">
        <v>0</v>
      </c>
      <c r="G280" s="11">
        <v>0</v>
      </c>
      <c r="H280" s="11">
        <v>0</v>
      </c>
    </row>
    <row r="281" spans="1:8" ht="21">
      <c r="A281" s="10">
        <v>40476</v>
      </c>
      <c r="B281" s="11">
        <v>24</v>
      </c>
      <c r="C281" s="11">
        <v>8</v>
      </c>
      <c r="D281" s="11">
        <v>35</v>
      </c>
      <c r="E281" s="11">
        <v>106</v>
      </c>
      <c r="F281" s="11">
        <v>0</v>
      </c>
      <c r="G281" s="11">
        <v>16</v>
      </c>
      <c r="H281" s="11">
        <v>0</v>
      </c>
    </row>
    <row r="282" spans="1:8" ht="21">
      <c r="A282" s="10">
        <v>40477</v>
      </c>
      <c r="B282" s="11">
        <v>19</v>
      </c>
      <c r="C282" s="11">
        <v>43</v>
      </c>
      <c r="D282" s="11">
        <v>5</v>
      </c>
      <c r="E282" s="11">
        <v>0</v>
      </c>
      <c r="F282" s="11">
        <v>10</v>
      </c>
      <c r="G282" s="11">
        <v>0</v>
      </c>
      <c r="H282" s="11">
        <v>0</v>
      </c>
    </row>
    <row r="283" spans="1:8" ht="21">
      <c r="A283" s="10">
        <v>40478</v>
      </c>
      <c r="B283" s="11">
        <v>30</v>
      </c>
      <c r="C283" s="11">
        <v>0</v>
      </c>
      <c r="D283" s="11">
        <v>0</v>
      </c>
      <c r="E283" s="11">
        <v>0</v>
      </c>
      <c r="F283" s="11">
        <v>10</v>
      </c>
      <c r="G283" s="11">
        <v>0</v>
      </c>
      <c r="H283" s="11">
        <v>5</v>
      </c>
    </row>
    <row r="284" spans="1:8" ht="21">
      <c r="A284" s="10">
        <v>40479</v>
      </c>
      <c r="B284" s="11">
        <v>23</v>
      </c>
      <c r="C284" s="11">
        <v>0</v>
      </c>
      <c r="D284" s="11">
        <v>0</v>
      </c>
      <c r="E284" s="11">
        <v>5</v>
      </c>
      <c r="F284" s="11">
        <v>0</v>
      </c>
      <c r="G284" s="11">
        <v>0</v>
      </c>
      <c r="H284" s="11">
        <v>2</v>
      </c>
    </row>
    <row r="285" spans="1:8" ht="21">
      <c r="A285" s="10">
        <v>40480</v>
      </c>
      <c r="B285" s="11">
        <v>6</v>
      </c>
      <c r="C285" s="11">
        <v>18</v>
      </c>
      <c r="D285" s="11">
        <v>0</v>
      </c>
      <c r="E285" s="11">
        <v>0</v>
      </c>
      <c r="F285" s="11">
        <v>0</v>
      </c>
      <c r="G285" s="11">
        <v>0</v>
      </c>
      <c r="H285" s="11">
        <v>0</v>
      </c>
    </row>
    <row r="286" spans="1:8" ht="21">
      <c r="A286" s="10">
        <v>40481</v>
      </c>
      <c r="B286" s="11">
        <v>0</v>
      </c>
      <c r="C286" s="11">
        <v>0</v>
      </c>
      <c r="D286" s="11">
        <v>0</v>
      </c>
      <c r="E286" s="11">
        <v>174</v>
      </c>
      <c r="F286" s="11">
        <v>30</v>
      </c>
      <c r="G286" s="11">
        <v>0</v>
      </c>
      <c r="H286" s="11">
        <v>0</v>
      </c>
    </row>
    <row r="287" spans="1:8" ht="21.75" thickBot="1">
      <c r="A287" s="15">
        <v>40482</v>
      </c>
      <c r="B287" s="12">
        <v>0</v>
      </c>
      <c r="C287" s="12">
        <v>0</v>
      </c>
      <c r="D287" s="12">
        <v>0</v>
      </c>
      <c r="E287" s="12">
        <v>0</v>
      </c>
      <c r="F287" s="12">
        <v>0</v>
      </c>
      <c r="G287" s="12">
        <v>0</v>
      </c>
      <c r="H287" s="12">
        <v>0</v>
      </c>
    </row>
    <row r="288" spans="1:8" ht="24.75" thickTop="1" thickBot="1">
      <c r="A288" s="13" t="s">
        <v>9</v>
      </c>
      <c r="B288" s="14">
        <f t="shared" ref="B288:H288" si="6">SUM(B257:B287)</f>
        <v>1585</v>
      </c>
      <c r="C288" s="14">
        <f t="shared" si="6"/>
        <v>155</v>
      </c>
      <c r="D288" s="14">
        <f t="shared" si="6"/>
        <v>246</v>
      </c>
      <c r="E288" s="14">
        <f t="shared" si="6"/>
        <v>704</v>
      </c>
      <c r="F288" s="14">
        <f t="shared" si="6"/>
        <v>469</v>
      </c>
      <c r="G288" s="14">
        <f t="shared" si="6"/>
        <v>28</v>
      </c>
      <c r="H288" s="14">
        <f t="shared" si="6"/>
        <v>127</v>
      </c>
    </row>
    <row r="289" ht="15.75" thickTop="1"/>
  </sheetData>
  <mergeCells count="70">
    <mergeCell ref="G5:G6"/>
    <mergeCell ref="H5:H6"/>
    <mergeCell ref="I5:I6"/>
    <mergeCell ref="A5:A6"/>
    <mergeCell ref="B5:B6"/>
    <mergeCell ref="C5:C6"/>
    <mergeCell ref="D5:D6"/>
    <mergeCell ref="E5:E6"/>
    <mergeCell ref="F5:F6"/>
    <mergeCell ref="G41:G42"/>
    <mergeCell ref="H41:H42"/>
    <mergeCell ref="I41:I42"/>
    <mergeCell ref="A41:A42"/>
    <mergeCell ref="B41:B42"/>
    <mergeCell ref="C41:C42"/>
    <mergeCell ref="D41:D42"/>
    <mergeCell ref="E41:E42"/>
    <mergeCell ref="F41:F42"/>
    <mergeCell ref="F255:F256"/>
    <mergeCell ref="G255:G256"/>
    <mergeCell ref="H255:H256"/>
    <mergeCell ref="A219:A220"/>
    <mergeCell ref="B219:B220"/>
    <mergeCell ref="C219:C220"/>
    <mergeCell ref="D219:D220"/>
    <mergeCell ref="E219:E220"/>
    <mergeCell ref="F219:F220"/>
    <mergeCell ref="A255:A256"/>
    <mergeCell ref="B255:B256"/>
    <mergeCell ref="C255:C256"/>
    <mergeCell ref="D255:D256"/>
    <mergeCell ref="E255:E256"/>
    <mergeCell ref="F183:F184"/>
    <mergeCell ref="G183:G184"/>
    <mergeCell ref="H183:H184"/>
    <mergeCell ref="I183:I184"/>
    <mergeCell ref="G219:G220"/>
    <mergeCell ref="H219:H220"/>
    <mergeCell ref="A183:A184"/>
    <mergeCell ref="B183:B184"/>
    <mergeCell ref="C183:C184"/>
    <mergeCell ref="D183:D184"/>
    <mergeCell ref="E183:E184"/>
    <mergeCell ref="H112:H113"/>
    <mergeCell ref="I112:I113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G76:G77"/>
    <mergeCell ref="H76:H77"/>
    <mergeCell ref="I76:I77"/>
    <mergeCell ref="A112:A113"/>
    <mergeCell ref="B112:B113"/>
    <mergeCell ref="C112:C113"/>
    <mergeCell ref="D112:D113"/>
    <mergeCell ref="E112:E113"/>
    <mergeCell ref="F112:F113"/>
    <mergeCell ref="G112:G113"/>
    <mergeCell ref="A76:A77"/>
    <mergeCell ref="B76:B77"/>
    <mergeCell ref="C76:C77"/>
    <mergeCell ref="D76:D77"/>
    <mergeCell ref="E76:E77"/>
    <mergeCell ref="F76:F77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Q49"/>
  <sheetViews>
    <sheetView tabSelected="1" zoomScale="70" zoomScaleNormal="70" workbookViewId="0">
      <pane xSplit="1" topLeftCell="B1" activePane="topRight" state="frozen"/>
      <selection pane="topRight"/>
    </sheetView>
  </sheetViews>
  <sheetFormatPr baseColWidth="10" defaultColWidth="11.42578125" defaultRowHeight="15"/>
  <cols>
    <col min="1" max="1" width="33.28515625" style="1" customWidth="1"/>
    <col min="2" max="6" width="14.5703125" style="1" customWidth="1"/>
    <col min="7" max="12" width="14.7109375" style="1" customWidth="1"/>
    <col min="13" max="13" width="13.28515625" style="1" customWidth="1"/>
    <col min="14" max="14" width="14.28515625" style="1" customWidth="1"/>
    <col min="15" max="16384" width="11.42578125" style="1"/>
  </cols>
  <sheetData>
    <row r="1" spans="1:17" ht="9.75" customHeight="1"/>
    <row r="2" spans="1:17" ht="12" customHeight="1"/>
    <row r="7" spans="1:17" ht="12.75" customHeight="1" thickBot="1">
      <c r="A7" s="25"/>
      <c r="B7" s="25"/>
      <c r="C7" s="25"/>
      <c r="D7" s="25"/>
      <c r="E7" s="25"/>
      <c r="F7" s="25"/>
      <c r="G7" s="25"/>
    </row>
    <row r="8" spans="1:17" ht="19.5" customHeight="1" thickTop="1">
      <c r="A8" s="131" t="s">
        <v>0</v>
      </c>
      <c r="B8" s="133" t="s">
        <v>16</v>
      </c>
      <c r="C8" s="133" t="s">
        <v>17</v>
      </c>
      <c r="D8" s="133" t="s">
        <v>18</v>
      </c>
      <c r="E8" s="133" t="s">
        <v>19</v>
      </c>
      <c r="F8" s="133" t="s">
        <v>20</v>
      </c>
      <c r="G8" s="133" t="s">
        <v>21</v>
      </c>
      <c r="H8" s="133" t="s">
        <v>22</v>
      </c>
      <c r="I8" s="133" t="s">
        <v>23</v>
      </c>
      <c r="J8" s="133" t="s">
        <v>24</v>
      </c>
      <c r="K8" s="133" t="s">
        <v>25</v>
      </c>
    </row>
    <row r="9" spans="1:17" ht="15.75" customHeight="1" thickBot="1">
      <c r="A9" s="132"/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5"/>
      <c r="M9" s="135"/>
      <c r="N9" s="135"/>
    </row>
    <row r="10" spans="1:17" ht="21.75" thickTop="1">
      <c r="A10" s="8">
        <v>46171</v>
      </c>
      <c r="B10" s="50">
        <v>0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Q10" s="46"/>
    </row>
    <row r="11" spans="1:17" ht="21">
      <c r="A11" s="8">
        <v>46172</v>
      </c>
      <c r="B11" s="50">
        <v>0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Q11" s="46"/>
    </row>
    <row r="12" spans="1:17" ht="21">
      <c r="A12" s="8">
        <v>46173</v>
      </c>
      <c r="B12" s="50">
        <v>0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Q12" s="46"/>
    </row>
    <row r="13" spans="1:17" ht="21">
      <c r="A13" s="8">
        <v>46174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Q13" s="46"/>
    </row>
    <row r="14" spans="1:17" ht="21">
      <c r="A14" s="8">
        <v>46175</v>
      </c>
      <c r="B14" s="50">
        <v>0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Q14" s="46"/>
    </row>
    <row r="15" spans="1:17" ht="21">
      <c r="A15" s="8">
        <v>46176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Q15" s="46"/>
    </row>
    <row r="16" spans="1:17" ht="21">
      <c r="A16" s="8">
        <v>46177</v>
      </c>
      <c r="B16" s="50">
        <v>0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Q16" s="46"/>
    </row>
    <row r="17" spans="1:17" ht="21">
      <c r="A17" s="8">
        <v>46178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Q17" s="46"/>
    </row>
    <row r="18" spans="1:17" ht="21">
      <c r="A18" s="8">
        <v>46179</v>
      </c>
      <c r="B18" s="50">
        <v>0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Q18" s="46"/>
    </row>
    <row r="19" spans="1:17" ht="21">
      <c r="A19" s="8">
        <v>46180</v>
      </c>
      <c r="B19" s="50">
        <v>0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Q19" s="46"/>
    </row>
    <row r="20" spans="1:17" ht="21">
      <c r="A20" s="8">
        <v>46181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Q20" s="46"/>
    </row>
    <row r="21" spans="1:17" ht="21">
      <c r="A21" s="8">
        <v>46182</v>
      </c>
      <c r="B21" s="50">
        <v>0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Q21" s="46"/>
    </row>
    <row r="22" spans="1:17" ht="21">
      <c r="A22" s="8">
        <v>46183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Q22" s="46"/>
    </row>
    <row r="23" spans="1:17" ht="21">
      <c r="A23" s="8">
        <v>46184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Q23" s="46"/>
    </row>
    <row r="24" spans="1:17" ht="21">
      <c r="A24" s="8">
        <v>46185</v>
      </c>
      <c r="B24" s="50">
        <v>0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Q24" s="46"/>
    </row>
    <row r="25" spans="1:17" ht="21">
      <c r="A25" s="8">
        <v>46186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Q25" s="46"/>
    </row>
    <row r="26" spans="1:17" ht="21">
      <c r="A26" s="8">
        <v>46187</v>
      </c>
      <c r="B26" s="50">
        <v>0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Q26" s="46"/>
    </row>
    <row r="27" spans="1:17" ht="21">
      <c r="A27" s="8">
        <v>46188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Q27" s="46"/>
    </row>
    <row r="28" spans="1:17" ht="21">
      <c r="A28" s="8">
        <v>46189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Q28" s="46"/>
    </row>
    <row r="29" spans="1:17" ht="21">
      <c r="A29" s="8">
        <v>46190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Q29" s="46"/>
    </row>
    <row r="30" spans="1:17" ht="21">
      <c r="A30" s="8">
        <v>46191</v>
      </c>
      <c r="B30" s="50">
        <v>0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Q30" s="46"/>
    </row>
    <row r="31" spans="1:17" ht="20.25" customHeight="1">
      <c r="A31" s="8">
        <v>46192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Q31" s="46"/>
    </row>
    <row r="32" spans="1:17" ht="20.25" customHeight="1">
      <c r="A32" s="8">
        <v>46193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Q32" s="46"/>
    </row>
    <row r="33" spans="1:17" ht="20.25" customHeight="1">
      <c r="A33" s="8">
        <v>46194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Q33" s="46"/>
    </row>
    <row r="34" spans="1:17" ht="21">
      <c r="A34" s="8">
        <v>46195</v>
      </c>
      <c r="B34" s="50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Q34" s="46"/>
    </row>
    <row r="35" spans="1:17" ht="21">
      <c r="A35" s="8">
        <v>46196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Q35" s="46"/>
    </row>
    <row r="36" spans="1:17" ht="20.25" customHeight="1">
      <c r="A36" s="8">
        <v>46197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Q36" s="46"/>
    </row>
    <row r="37" spans="1:17" ht="21">
      <c r="A37" s="8">
        <v>46198</v>
      </c>
      <c r="B37" s="50">
        <v>0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Q37" s="46"/>
    </row>
    <row r="38" spans="1:17" ht="21">
      <c r="A38" s="8">
        <v>46199</v>
      </c>
      <c r="B38" s="50">
        <v>0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Q38" s="46"/>
    </row>
    <row r="39" spans="1:17" ht="21">
      <c r="A39" s="8">
        <v>46200</v>
      </c>
      <c r="B39" s="50">
        <v>0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Q39" s="46"/>
    </row>
    <row r="40" spans="1:17" ht="21.75" thickBot="1">
      <c r="A40" s="8">
        <v>46201</v>
      </c>
      <c r="B40" s="50">
        <v>0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Q40" s="46"/>
    </row>
    <row r="41" spans="1:17" ht="24.75" thickTop="1" thickBot="1">
      <c r="A41" s="13"/>
      <c r="B41" s="14">
        <f t="shared" ref="B41:K41" si="0">SUM(B10:B40)</f>
        <v>0</v>
      </c>
      <c r="C41" s="14">
        <f t="shared" si="0"/>
        <v>0</v>
      </c>
      <c r="D41" s="14">
        <f>SUM(D10:D40)</f>
        <v>0</v>
      </c>
      <c r="E41" s="14">
        <f t="shared" si="0"/>
        <v>0</v>
      </c>
      <c r="F41" s="14">
        <f t="shared" si="0"/>
        <v>0</v>
      </c>
      <c r="G41" s="14">
        <f t="shared" si="0"/>
        <v>0</v>
      </c>
      <c r="H41" s="14">
        <f t="shared" si="0"/>
        <v>0</v>
      </c>
      <c r="I41" s="14">
        <f t="shared" si="0"/>
        <v>0</v>
      </c>
      <c r="J41" s="14">
        <f t="shared" si="0"/>
        <v>0</v>
      </c>
      <c r="K41" s="14">
        <f t="shared" si="0"/>
        <v>0</v>
      </c>
      <c r="L41" s="46">
        <f>SUM(B41:K41)</f>
        <v>0</v>
      </c>
    </row>
    <row r="42" spans="1:17" ht="19.5" thickTop="1">
      <c r="A42" s="25"/>
      <c r="B42" s="25"/>
      <c r="C42" s="25"/>
      <c r="D42" s="25"/>
      <c r="E42" s="25"/>
      <c r="F42" s="25"/>
      <c r="G42" s="25"/>
    </row>
    <row r="43" spans="1:17" ht="18.75">
      <c r="A43" s="25"/>
      <c r="E43" s="25"/>
      <c r="F43" s="25"/>
      <c r="G43" s="25"/>
    </row>
    <row r="44" spans="1:17" ht="18.75">
      <c r="A44" s="25"/>
      <c r="E44" s="25"/>
      <c r="F44" s="25"/>
      <c r="G44" s="25"/>
    </row>
    <row r="45" spans="1:17" ht="18.75">
      <c r="A45" s="25"/>
      <c r="B45" s="25"/>
      <c r="C45" s="25"/>
      <c r="D45" s="25"/>
      <c r="E45" s="25"/>
      <c r="F45" s="25"/>
      <c r="G45" s="25"/>
    </row>
    <row r="46" spans="1:17" ht="18.75">
      <c r="A46" s="25"/>
      <c r="B46" s="25"/>
      <c r="C46" s="25"/>
      <c r="D46" s="25"/>
      <c r="E46" s="25"/>
      <c r="F46" s="25"/>
      <c r="G46" s="25"/>
    </row>
    <row r="47" spans="1:17" ht="18.75">
      <c r="A47" s="25"/>
      <c r="B47" s="25"/>
      <c r="C47" s="25"/>
      <c r="D47" s="25"/>
      <c r="E47" s="25"/>
      <c r="F47" s="25"/>
      <c r="G47" s="25"/>
    </row>
    <row r="48" spans="1:17" ht="18.75">
      <c r="A48" s="25"/>
      <c r="B48" s="25"/>
      <c r="C48" s="25"/>
      <c r="D48" s="25"/>
      <c r="E48" s="25"/>
      <c r="F48" s="25"/>
      <c r="G48" s="25"/>
    </row>
    <row r="49" spans="1:7" ht="18.75">
      <c r="A49" s="25"/>
      <c r="B49" s="25"/>
      <c r="C49" s="25"/>
      <c r="D49" s="25"/>
      <c r="E49" s="25"/>
      <c r="F49" s="25"/>
      <c r="G49" s="25"/>
    </row>
  </sheetData>
  <sheetProtection selectLockedCells="1" selectUnlockedCells="1"/>
  <mergeCells count="12">
    <mergeCell ref="F8:F9"/>
    <mergeCell ref="L9:N9"/>
    <mergeCell ref="J8:J9"/>
    <mergeCell ref="G8:G9"/>
    <mergeCell ref="K8:K9"/>
    <mergeCell ref="H8:H9"/>
    <mergeCell ref="I8:I9"/>
    <mergeCell ref="A8:A9"/>
    <mergeCell ref="B8:B9"/>
    <mergeCell ref="C8:C9"/>
    <mergeCell ref="D8:D9"/>
    <mergeCell ref="E8:E9"/>
  </mergeCells>
  <phoneticPr fontId="2" type="noConversion"/>
  <hyperlinks>
    <hyperlink ref="B8:B9" location="'Trabajos Realizados CCM1'!A1" display="CCM 01" xr:uid="{00000000-0004-0000-0100-000000000000}"/>
    <hyperlink ref="C8:C9" location="'Trabajos Realizados CCM2'!A1" display="CCM 02" xr:uid="{00000000-0004-0000-0100-000001000000}"/>
    <hyperlink ref="D8:D9" location="'Trabajos Realizados CCM3'!A1" display="CCM 03" xr:uid="{00000000-0004-0000-0100-000002000000}"/>
    <hyperlink ref="E8:E9" location="'Trabajos Realizados CCM64-1'!A1" display="CCM 04" xr:uid="{00000000-0004-0000-0100-000003000000}"/>
    <hyperlink ref="F8:F9" location="'Trabajos Realizados CCM64-2'!A1" display="CCM 05" xr:uid="{00000000-0004-0000-0100-000004000000}"/>
    <hyperlink ref="J8:J9" location="'Trabajos Realizados PMV 02'!A1" display="PMV 02" xr:uid="{00000000-0004-0000-0100-000005000000}"/>
    <hyperlink ref="K8:K9" location="'Trabajos Realizados PMV 04'!A1" display="PMV 04" xr:uid="{00000000-0004-0000-0100-000006000000}"/>
    <hyperlink ref="G8:G9" location="'Trabajos Realizados CCM 06'!A1" display="CCM 06" xr:uid="{00000000-0004-0000-0100-000007000000}"/>
    <hyperlink ref="H8:H9" location="'Trabajos Realizados CCM 07'!A1" display="CCM 06" xr:uid="{00000000-0004-0000-0100-000008000000}"/>
    <hyperlink ref="I8:I9" location="'Trabajos Realizados CCM 08'!A1" display="CCM8" xr:uid="{00000000-0004-0000-0100-000009000000}"/>
  </hyperlinks>
  <pageMargins left="0.75" right="0.75" top="1" bottom="1" header="0" footer="0"/>
  <pageSetup scale="80" orientation="landscape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2"/>
  <sheetViews>
    <sheetView topLeftCell="A21" zoomScale="70" zoomScaleNormal="70" workbookViewId="0">
      <pane xSplit="1" topLeftCell="B1" activePane="topRight" state="frozen"/>
      <selection pane="topRight" activeCell="B10" sqref="B10:K40"/>
    </sheetView>
  </sheetViews>
  <sheetFormatPr baseColWidth="10" defaultColWidth="11.42578125" defaultRowHeight="15"/>
  <cols>
    <col min="1" max="1" width="33.28515625" style="1" customWidth="1"/>
    <col min="2" max="5" width="14.5703125" style="1" customWidth="1"/>
    <col min="6" max="10" width="14.7109375" style="1" customWidth="1"/>
    <col min="11" max="11" width="14.5703125" style="1" customWidth="1"/>
    <col min="12" max="13" width="14.7109375" style="1" customWidth="1"/>
    <col min="14" max="14" width="13.28515625" style="1" customWidth="1"/>
    <col min="15" max="15" width="14.28515625" style="1" customWidth="1"/>
    <col min="16" max="16384" width="11.42578125" style="1"/>
  </cols>
  <sheetData>
    <row r="1" spans="1:14" ht="9.75" customHeight="1"/>
    <row r="2" spans="1:14" ht="12" customHeight="1"/>
    <row r="7" spans="1:14" ht="12.75" customHeight="1" thickBot="1">
      <c r="A7" s="25"/>
      <c r="B7" s="25"/>
      <c r="C7" s="25"/>
      <c r="D7" s="25"/>
      <c r="E7" s="25"/>
      <c r="F7" s="25"/>
      <c r="G7" s="25"/>
    </row>
    <row r="8" spans="1:14" ht="19.5" customHeight="1" thickTop="1">
      <c r="A8" s="131" t="s">
        <v>0</v>
      </c>
      <c r="B8" s="131" t="s">
        <v>16</v>
      </c>
      <c r="C8" s="131" t="s">
        <v>17</v>
      </c>
      <c r="D8" s="131" t="s">
        <v>18</v>
      </c>
      <c r="E8" s="131" t="s">
        <v>19</v>
      </c>
      <c r="F8" s="131" t="s">
        <v>20</v>
      </c>
      <c r="G8" s="131" t="s">
        <v>21</v>
      </c>
      <c r="H8" s="131" t="s">
        <v>22</v>
      </c>
      <c r="I8" s="131" t="s">
        <v>23</v>
      </c>
      <c r="J8" s="131" t="s">
        <v>24</v>
      </c>
      <c r="K8" s="131" t="s">
        <v>25</v>
      </c>
    </row>
    <row r="9" spans="1:14" ht="15.75" customHeight="1" thickBot="1">
      <c r="A9" s="132"/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5"/>
      <c r="M9" s="135"/>
      <c r="N9" s="135"/>
    </row>
    <row r="10" spans="1:14" ht="21.75" thickTop="1">
      <c r="A10" s="8">
        <v>46171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0</v>
      </c>
      <c r="I10" s="57">
        <v>0</v>
      </c>
      <c r="J10" s="57">
        <v>0</v>
      </c>
      <c r="K10" s="57">
        <v>0</v>
      </c>
    </row>
    <row r="11" spans="1:14" ht="21">
      <c r="A11" s="8">
        <v>46172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</row>
    <row r="12" spans="1:14" ht="21">
      <c r="A12" s="8">
        <v>46173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</row>
    <row r="13" spans="1:14" ht="21">
      <c r="A13" s="8">
        <v>46174</v>
      </c>
      <c r="B13" s="57">
        <v>0</v>
      </c>
      <c r="C13" s="57">
        <v>0</v>
      </c>
      <c r="D13" s="57">
        <v>0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</row>
    <row r="14" spans="1:14" ht="21">
      <c r="A14" s="8">
        <v>46175</v>
      </c>
      <c r="B14" s="57">
        <v>0</v>
      </c>
      <c r="C14" s="57">
        <v>0</v>
      </c>
      <c r="D14" s="57">
        <v>0</v>
      </c>
      <c r="E14" s="57">
        <v>0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57">
        <v>0</v>
      </c>
    </row>
    <row r="15" spans="1:14" ht="21">
      <c r="A15" s="8">
        <v>46176</v>
      </c>
      <c r="B15" s="57">
        <v>0</v>
      </c>
      <c r="C15" s="57">
        <v>0</v>
      </c>
      <c r="D15" s="57">
        <v>0</v>
      </c>
      <c r="E15" s="57">
        <v>0</v>
      </c>
      <c r="F15" s="57">
        <v>0</v>
      </c>
      <c r="G15" s="57">
        <v>0</v>
      </c>
      <c r="H15" s="57">
        <v>0</v>
      </c>
      <c r="I15" s="57">
        <v>0</v>
      </c>
      <c r="J15" s="57">
        <v>0</v>
      </c>
      <c r="K15" s="57">
        <v>0</v>
      </c>
    </row>
    <row r="16" spans="1:14" ht="21">
      <c r="A16" s="8">
        <v>46177</v>
      </c>
      <c r="B16" s="57">
        <v>0</v>
      </c>
      <c r="C16" s="57">
        <v>0</v>
      </c>
      <c r="D16" s="57">
        <v>0</v>
      </c>
      <c r="E16" s="57">
        <v>0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57">
        <v>0</v>
      </c>
    </row>
    <row r="17" spans="1:11" ht="21">
      <c r="A17" s="8">
        <v>46178</v>
      </c>
      <c r="B17" s="57">
        <v>0</v>
      </c>
      <c r="C17" s="57">
        <v>0</v>
      </c>
      <c r="D17" s="57">
        <v>0</v>
      </c>
      <c r="E17" s="57">
        <v>0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</row>
    <row r="18" spans="1:11" ht="21">
      <c r="A18" s="8">
        <v>46179</v>
      </c>
      <c r="B18" s="57">
        <v>0</v>
      </c>
      <c r="C18" s="57">
        <v>0</v>
      </c>
      <c r="D18" s="57">
        <v>0</v>
      </c>
      <c r="E18" s="57">
        <v>0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</row>
    <row r="19" spans="1:11" ht="21">
      <c r="A19" s="8">
        <v>46180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</row>
    <row r="20" spans="1:11" ht="21">
      <c r="A20" s="8">
        <v>46181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</row>
    <row r="21" spans="1:11" ht="21">
      <c r="A21" s="8">
        <v>46182</v>
      </c>
      <c r="B21" s="57">
        <v>0</v>
      </c>
      <c r="C21" s="57">
        <v>0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57">
        <v>0</v>
      </c>
    </row>
    <row r="22" spans="1:11" ht="21">
      <c r="A22" s="8">
        <v>46183</v>
      </c>
      <c r="B22" s="57">
        <v>0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</row>
    <row r="23" spans="1:11" ht="21">
      <c r="A23" s="8">
        <v>46184</v>
      </c>
      <c r="B23" s="57">
        <v>0</v>
      </c>
      <c r="C23" s="57">
        <v>0</v>
      </c>
      <c r="D23" s="57">
        <v>0</v>
      </c>
      <c r="E23" s="57">
        <v>0</v>
      </c>
      <c r="F23" s="57">
        <v>0</v>
      </c>
      <c r="G23" s="57">
        <v>0</v>
      </c>
      <c r="H23" s="57">
        <v>0</v>
      </c>
      <c r="I23" s="57">
        <v>0</v>
      </c>
      <c r="J23" s="57">
        <v>0</v>
      </c>
      <c r="K23" s="57">
        <v>0</v>
      </c>
    </row>
    <row r="24" spans="1:11" ht="21">
      <c r="A24" s="8">
        <v>46185</v>
      </c>
      <c r="B24" s="57">
        <v>0</v>
      </c>
      <c r="C24" s="57">
        <v>0</v>
      </c>
      <c r="D24" s="57">
        <v>0</v>
      </c>
      <c r="E24" s="57">
        <v>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</row>
    <row r="25" spans="1:11" ht="21">
      <c r="A25" s="8">
        <v>46186</v>
      </c>
      <c r="B25" s="57">
        <v>0</v>
      </c>
      <c r="C25" s="57">
        <v>0</v>
      </c>
      <c r="D25" s="57">
        <v>0</v>
      </c>
      <c r="E25" s="57">
        <v>0</v>
      </c>
      <c r="F25" s="57">
        <v>0</v>
      </c>
      <c r="G25" s="57">
        <v>0</v>
      </c>
      <c r="H25" s="57">
        <v>0</v>
      </c>
      <c r="I25" s="57">
        <v>0</v>
      </c>
      <c r="J25" s="57">
        <v>0</v>
      </c>
      <c r="K25" s="57">
        <v>0</v>
      </c>
    </row>
    <row r="26" spans="1:11" ht="21">
      <c r="A26" s="8">
        <v>46187</v>
      </c>
      <c r="B26" s="57">
        <v>0</v>
      </c>
      <c r="C26" s="57">
        <v>0</v>
      </c>
      <c r="D26" s="57">
        <v>0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</row>
    <row r="27" spans="1:11" ht="21">
      <c r="A27" s="8">
        <v>46188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0</v>
      </c>
    </row>
    <row r="28" spans="1:11" ht="21">
      <c r="A28" s="8">
        <v>46189</v>
      </c>
      <c r="B28" s="57">
        <v>0</v>
      </c>
      <c r="C28" s="57">
        <v>0</v>
      </c>
      <c r="D28" s="57">
        <v>0</v>
      </c>
      <c r="E28" s="57">
        <v>0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</row>
    <row r="29" spans="1:11" ht="21">
      <c r="A29" s="8">
        <v>46190</v>
      </c>
      <c r="B29" s="57">
        <v>0</v>
      </c>
      <c r="C29" s="57">
        <v>0</v>
      </c>
      <c r="D29" s="57">
        <v>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</row>
    <row r="30" spans="1:11" ht="21">
      <c r="A30" s="8">
        <v>46191</v>
      </c>
      <c r="B30" s="57">
        <v>0</v>
      </c>
      <c r="C30" s="57">
        <v>0</v>
      </c>
      <c r="D30" s="57">
        <v>0</v>
      </c>
      <c r="E30" s="57">
        <v>0</v>
      </c>
      <c r="F30" s="57">
        <v>0</v>
      </c>
      <c r="G30" s="57">
        <v>0</v>
      </c>
      <c r="H30" s="57">
        <v>0</v>
      </c>
      <c r="I30" s="57">
        <v>0</v>
      </c>
      <c r="J30" s="57">
        <v>0</v>
      </c>
      <c r="K30" s="57">
        <v>0</v>
      </c>
    </row>
    <row r="31" spans="1:11" ht="24" customHeight="1">
      <c r="A31" s="8">
        <v>46192</v>
      </c>
      <c r="B31" s="57">
        <v>0</v>
      </c>
      <c r="C31" s="57">
        <v>0</v>
      </c>
      <c r="D31" s="57">
        <v>0</v>
      </c>
      <c r="E31" s="57">
        <v>0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</row>
    <row r="32" spans="1:11" ht="20.25" customHeight="1">
      <c r="A32" s="8">
        <v>46193</v>
      </c>
      <c r="B32" s="57">
        <v>0</v>
      </c>
      <c r="C32" s="57">
        <v>0</v>
      </c>
      <c r="D32" s="57">
        <v>0</v>
      </c>
      <c r="E32" s="57">
        <v>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</row>
    <row r="33" spans="1:12" ht="20.25" customHeight="1">
      <c r="A33" s="8">
        <v>46194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</row>
    <row r="34" spans="1:12" ht="20.25" customHeight="1">
      <c r="A34" s="8">
        <v>46195</v>
      </c>
      <c r="B34" s="57">
        <v>0</v>
      </c>
      <c r="C34" s="57">
        <v>0</v>
      </c>
      <c r="D34" s="57">
        <v>0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</row>
    <row r="35" spans="1:12" ht="21">
      <c r="A35" s="8">
        <v>46196</v>
      </c>
      <c r="B35" s="57">
        <v>0</v>
      </c>
      <c r="C35" s="57">
        <v>0</v>
      </c>
      <c r="D35" s="57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</row>
    <row r="36" spans="1:12" ht="21">
      <c r="A36" s="8">
        <v>46197</v>
      </c>
      <c r="B36" s="57">
        <v>0</v>
      </c>
      <c r="C36" s="57">
        <v>0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</row>
    <row r="37" spans="1:12" ht="21">
      <c r="A37" s="8">
        <v>46198</v>
      </c>
      <c r="B37" s="57">
        <v>0</v>
      </c>
      <c r="C37" s="57">
        <v>0</v>
      </c>
      <c r="D37" s="57">
        <v>0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</row>
    <row r="38" spans="1:12" ht="21">
      <c r="A38" s="8">
        <v>46199</v>
      </c>
      <c r="B38" s="57">
        <v>0</v>
      </c>
      <c r="C38" s="57">
        <v>0</v>
      </c>
      <c r="D38" s="57">
        <v>0</v>
      </c>
      <c r="E38" s="57">
        <v>0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</row>
    <row r="39" spans="1:12" ht="19.5" customHeight="1">
      <c r="A39" s="8">
        <v>46200</v>
      </c>
      <c r="B39" s="57">
        <v>0</v>
      </c>
      <c r="C39" s="57">
        <v>0</v>
      </c>
      <c r="D39" s="57">
        <v>0</v>
      </c>
      <c r="E39" s="57">
        <v>0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0</v>
      </c>
    </row>
    <row r="40" spans="1:12" ht="21.75" thickBot="1">
      <c r="A40" s="8">
        <v>46201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</row>
    <row r="41" spans="1:12" ht="21" hidden="1">
      <c r="A41" s="8">
        <v>46202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3"/>
    </row>
    <row r="42" spans="1:12" ht="21" hidden="1">
      <c r="A42" s="8">
        <v>46203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0</v>
      </c>
      <c r="H42" s="57">
        <v>0</v>
      </c>
      <c r="I42" s="57">
        <v>0</v>
      </c>
      <c r="J42" s="57">
        <v>0</v>
      </c>
      <c r="K42" s="57">
        <v>0</v>
      </c>
    </row>
    <row r="43" spans="1:12" ht="21.75" hidden="1" thickBot="1">
      <c r="A43" s="8">
        <v>46204</v>
      </c>
      <c r="B43" s="57">
        <v>0</v>
      </c>
      <c r="C43" s="57">
        <v>0</v>
      </c>
      <c r="D43" s="57">
        <v>0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</row>
    <row r="44" spans="1:12" ht="24.75" thickTop="1" thickBot="1">
      <c r="A44" s="13"/>
      <c r="B44" s="14">
        <f t="shared" ref="B44:K44" si="0">SUM(B10:B43)</f>
        <v>0</v>
      </c>
      <c r="C44" s="14">
        <f t="shared" si="0"/>
        <v>0</v>
      </c>
      <c r="D44" s="14">
        <f t="shared" si="0"/>
        <v>0</v>
      </c>
      <c r="E44" s="14">
        <f t="shared" si="0"/>
        <v>0</v>
      </c>
      <c r="F44" s="14">
        <f t="shared" si="0"/>
        <v>0</v>
      </c>
      <c r="G44" s="14">
        <f t="shared" si="0"/>
        <v>0</v>
      </c>
      <c r="H44" s="14">
        <f t="shared" si="0"/>
        <v>0</v>
      </c>
      <c r="I44" s="14">
        <f t="shared" si="0"/>
        <v>0</v>
      </c>
      <c r="J44" s="14">
        <f t="shared" si="0"/>
        <v>0</v>
      </c>
      <c r="K44" s="14">
        <f t="shared" si="0"/>
        <v>0</v>
      </c>
      <c r="L44" s="46">
        <f>SUM(B44:K44)</f>
        <v>0</v>
      </c>
    </row>
    <row r="45" spans="1:12" ht="32.25" customHeight="1" thickTop="1">
      <c r="A45" s="25"/>
      <c r="B45" s="25"/>
      <c r="C45" s="25"/>
      <c r="D45" s="25"/>
      <c r="E45" s="25"/>
      <c r="F45" s="25"/>
      <c r="G45" s="25"/>
    </row>
    <row r="46" spans="1:12" ht="18.75">
      <c r="A46" s="25"/>
      <c r="E46" s="25"/>
      <c r="F46" s="25"/>
      <c r="G46" s="25"/>
    </row>
    <row r="47" spans="1:12" ht="18.75">
      <c r="A47" s="25"/>
      <c r="E47" s="25"/>
      <c r="F47" s="25"/>
      <c r="G47" s="25"/>
    </row>
    <row r="48" spans="1:12" ht="18.75">
      <c r="A48" s="25"/>
      <c r="B48" s="25"/>
      <c r="C48" s="25"/>
      <c r="D48" s="25"/>
      <c r="E48" s="25"/>
      <c r="F48" s="25"/>
      <c r="G48" s="25"/>
    </row>
    <row r="49" spans="1:7" ht="18.75">
      <c r="A49" s="25"/>
      <c r="B49" s="25"/>
      <c r="C49" s="25"/>
      <c r="D49" s="25"/>
      <c r="E49" s="25"/>
      <c r="F49" s="25"/>
      <c r="G49" s="25"/>
    </row>
    <row r="50" spans="1:7" ht="18.75">
      <c r="A50" s="25"/>
      <c r="B50" s="25"/>
      <c r="C50" s="25"/>
      <c r="D50" s="25"/>
      <c r="E50" s="25"/>
      <c r="F50" s="25"/>
      <c r="G50" s="25"/>
    </row>
    <row r="51" spans="1:7" ht="18.75">
      <c r="A51" s="25"/>
      <c r="B51" s="25"/>
      <c r="C51" s="25"/>
      <c r="D51" s="25"/>
      <c r="E51" s="25"/>
      <c r="F51" s="25"/>
      <c r="G51" s="25"/>
    </row>
    <row r="52" spans="1:7" ht="18.75">
      <c r="A52" s="25"/>
      <c r="B52" s="25"/>
      <c r="C52" s="25"/>
      <c r="D52" s="25"/>
      <c r="E52" s="25"/>
      <c r="F52" s="25"/>
      <c r="G52" s="25"/>
    </row>
  </sheetData>
  <sheetProtection selectLockedCells="1" selectUnlockedCells="1"/>
  <mergeCells count="12">
    <mergeCell ref="F8:F9"/>
    <mergeCell ref="L9:N9"/>
    <mergeCell ref="G8:G9"/>
    <mergeCell ref="H8:H9"/>
    <mergeCell ref="J8:J9"/>
    <mergeCell ref="K8:K9"/>
    <mergeCell ref="I8:I9"/>
    <mergeCell ref="A8:A9"/>
    <mergeCell ref="B8:B9"/>
    <mergeCell ref="C8:C9"/>
    <mergeCell ref="D8:D9"/>
    <mergeCell ref="E8:E9"/>
  </mergeCells>
  <pageMargins left="0.75" right="0.75" top="1" bottom="1" header="0" footer="0"/>
  <pageSetup scale="80" orientation="landscape" verticalDpi="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1"/>
  <sheetViews>
    <sheetView topLeftCell="A22" zoomScale="70" zoomScaleNormal="70" workbookViewId="0">
      <pane xSplit="1" topLeftCell="B1" activePane="topRight" state="frozen"/>
      <selection pane="topRight" activeCell="K42" sqref="B10:K42"/>
    </sheetView>
  </sheetViews>
  <sheetFormatPr baseColWidth="10" defaultColWidth="11.42578125" defaultRowHeight="15"/>
  <cols>
    <col min="1" max="1" width="33.28515625" style="1" customWidth="1"/>
    <col min="2" max="6" width="14.5703125" style="1" customWidth="1"/>
    <col min="7" max="13" width="14.7109375" style="1" customWidth="1"/>
    <col min="14" max="14" width="13.28515625" style="1" customWidth="1"/>
    <col min="15" max="15" width="14.28515625" style="1" customWidth="1"/>
    <col min="16" max="16384" width="11.42578125" style="1"/>
  </cols>
  <sheetData>
    <row r="1" spans="1:14" ht="9.75" customHeight="1"/>
    <row r="2" spans="1:14" ht="12" customHeight="1"/>
    <row r="7" spans="1:14" ht="12.75" customHeight="1" thickBot="1">
      <c r="A7" s="25"/>
      <c r="B7" s="25"/>
      <c r="C7" s="25"/>
      <c r="D7" s="25"/>
      <c r="E7" s="25"/>
      <c r="F7" s="25"/>
      <c r="G7" s="25"/>
    </row>
    <row r="8" spans="1:14" ht="19.5" customHeight="1" thickTop="1">
      <c r="A8" s="131" t="s">
        <v>0</v>
      </c>
      <c r="B8" s="131" t="s">
        <v>16</v>
      </c>
      <c r="C8" s="131" t="s">
        <v>17</v>
      </c>
      <c r="D8" s="131" t="s">
        <v>18</v>
      </c>
      <c r="E8" s="131" t="s">
        <v>19</v>
      </c>
      <c r="F8" s="131" t="s">
        <v>20</v>
      </c>
      <c r="G8" s="131" t="s">
        <v>21</v>
      </c>
      <c r="H8" s="131" t="s">
        <v>22</v>
      </c>
      <c r="I8" s="131" t="s">
        <v>23</v>
      </c>
      <c r="J8" s="131" t="s">
        <v>24</v>
      </c>
      <c r="K8" s="131" t="s">
        <v>25</v>
      </c>
    </row>
    <row r="9" spans="1:14" ht="15.75" customHeight="1" thickBot="1">
      <c r="A9" s="132"/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5"/>
      <c r="M9" s="135"/>
      <c r="N9" s="135"/>
    </row>
    <row r="10" spans="1:14" ht="21.75" thickTop="1">
      <c r="A10" s="8">
        <v>46171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0</v>
      </c>
      <c r="I10" s="57">
        <v>0</v>
      </c>
      <c r="J10" s="57">
        <v>0</v>
      </c>
      <c r="K10" s="57">
        <v>0</v>
      </c>
    </row>
    <row r="11" spans="1:14" ht="21">
      <c r="A11" s="8">
        <v>46172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</row>
    <row r="12" spans="1:14" ht="21">
      <c r="A12" s="8">
        <v>46173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</row>
    <row r="13" spans="1:14" ht="21">
      <c r="A13" s="8">
        <v>46174</v>
      </c>
      <c r="B13" s="57">
        <v>0</v>
      </c>
      <c r="C13" s="57">
        <v>0</v>
      </c>
      <c r="D13" s="57">
        <v>0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</row>
    <row r="14" spans="1:14" ht="21">
      <c r="A14" s="8">
        <v>46175</v>
      </c>
      <c r="B14" s="57">
        <v>0</v>
      </c>
      <c r="C14" s="57">
        <v>0</v>
      </c>
      <c r="D14" s="57">
        <v>0</v>
      </c>
      <c r="E14" s="57">
        <v>0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57">
        <v>0</v>
      </c>
    </row>
    <row r="15" spans="1:14" ht="21">
      <c r="A15" s="8">
        <v>46176</v>
      </c>
      <c r="B15" s="57">
        <v>0</v>
      </c>
      <c r="C15" s="57">
        <v>0</v>
      </c>
      <c r="D15" s="57">
        <v>0</v>
      </c>
      <c r="E15" s="57">
        <v>0</v>
      </c>
      <c r="F15" s="57">
        <v>0</v>
      </c>
      <c r="G15" s="57">
        <v>0</v>
      </c>
      <c r="H15" s="57">
        <v>0</v>
      </c>
      <c r="I15" s="57">
        <v>0</v>
      </c>
      <c r="J15" s="57">
        <v>0</v>
      </c>
      <c r="K15" s="57">
        <v>0</v>
      </c>
    </row>
    <row r="16" spans="1:14" ht="21">
      <c r="A16" s="8">
        <v>46177</v>
      </c>
      <c r="B16" s="57">
        <v>0</v>
      </c>
      <c r="C16" s="57">
        <v>0</v>
      </c>
      <c r="D16" s="57">
        <v>0</v>
      </c>
      <c r="E16" s="57">
        <v>0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57">
        <v>0</v>
      </c>
    </row>
    <row r="17" spans="1:11" ht="21">
      <c r="A17" s="8">
        <v>46178</v>
      </c>
      <c r="B17" s="57">
        <v>0</v>
      </c>
      <c r="C17" s="57">
        <v>0</v>
      </c>
      <c r="D17" s="57">
        <v>0</v>
      </c>
      <c r="E17" s="57">
        <v>0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</row>
    <row r="18" spans="1:11" ht="21">
      <c r="A18" s="8">
        <v>46179</v>
      </c>
      <c r="B18" s="57">
        <v>0</v>
      </c>
      <c r="C18" s="57">
        <v>0</v>
      </c>
      <c r="D18" s="57">
        <v>0</v>
      </c>
      <c r="E18" s="57">
        <v>0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</row>
    <row r="19" spans="1:11" ht="21">
      <c r="A19" s="8">
        <v>46180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</row>
    <row r="20" spans="1:11" ht="21">
      <c r="A20" s="8">
        <v>46181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</row>
    <row r="21" spans="1:11" ht="21">
      <c r="A21" s="8">
        <v>46182</v>
      </c>
      <c r="B21" s="57">
        <v>0</v>
      </c>
      <c r="C21" s="57">
        <v>0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57">
        <v>0</v>
      </c>
    </row>
    <row r="22" spans="1:11" ht="21">
      <c r="A22" s="8">
        <v>46183</v>
      </c>
      <c r="B22" s="57">
        <v>0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</row>
    <row r="23" spans="1:11" ht="21">
      <c r="A23" s="8">
        <v>46184</v>
      </c>
      <c r="B23" s="57">
        <v>0</v>
      </c>
      <c r="C23" s="57">
        <v>0</v>
      </c>
      <c r="D23" s="57">
        <v>0</v>
      </c>
      <c r="E23" s="57">
        <v>0</v>
      </c>
      <c r="F23" s="57">
        <v>0</v>
      </c>
      <c r="G23" s="57">
        <v>0</v>
      </c>
      <c r="H23" s="57">
        <v>0</v>
      </c>
      <c r="I23" s="57">
        <v>0</v>
      </c>
      <c r="J23" s="57">
        <v>0</v>
      </c>
      <c r="K23" s="57">
        <v>0</v>
      </c>
    </row>
    <row r="24" spans="1:11" ht="21">
      <c r="A24" s="8">
        <v>46185</v>
      </c>
      <c r="B24" s="57">
        <v>0</v>
      </c>
      <c r="C24" s="57">
        <v>0</v>
      </c>
      <c r="D24" s="57">
        <v>0</v>
      </c>
      <c r="E24" s="57">
        <v>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</row>
    <row r="25" spans="1:11" ht="21">
      <c r="A25" s="8">
        <v>46186</v>
      </c>
      <c r="B25" s="57">
        <v>0</v>
      </c>
      <c r="C25" s="57">
        <v>0</v>
      </c>
      <c r="D25" s="57">
        <v>0</v>
      </c>
      <c r="E25" s="57">
        <v>0</v>
      </c>
      <c r="F25" s="57">
        <v>0</v>
      </c>
      <c r="G25" s="57">
        <v>0</v>
      </c>
      <c r="H25" s="57">
        <v>0</v>
      </c>
      <c r="I25" s="57">
        <v>0</v>
      </c>
      <c r="J25" s="57">
        <v>0</v>
      </c>
      <c r="K25" s="57">
        <v>0</v>
      </c>
    </row>
    <row r="26" spans="1:11" ht="21">
      <c r="A26" s="8">
        <v>46187</v>
      </c>
      <c r="B26" s="57">
        <v>0</v>
      </c>
      <c r="C26" s="57">
        <v>0</v>
      </c>
      <c r="D26" s="57">
        <v>0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</row>
    <row r="27" spans="1:11" ht="21">
      <c r="A27" s="8">
        <v>46188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0</v>
      </c>
    </row>
    <row r="28" spans="1:11" ht="21">
      <c r="A28" s="8">
        <v>46189</v>
      </c>
      <c r="B28" s="57">
        <v>0</v>
      </c>
      <c r="C28" s="57">
        <v>0</v>
      </c>
      <c r="D28" s="57">
        <v>0</v>
      </c>
      <c r="E28" s="57">
        <v>0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</row>
    <row r="29" spans="1:11" ht="21">
      <c r="A29" s="8">
        <v>46190</v>
      </c>
      <c r="B29" s="57">
        <v>0</v>
      </c>
      <c r="C29" s="57">
        <v>0</v>
      </c>
      <c r="D29" s="57">
        <v>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</row>
    <row r="30" spans="1:11" ht="24" customHeight="1">
      <c r="A30" s="8">
        <v>46191</v>
      </c>
      <c r="B30" s="57">
        <v>0</v>
      </c>
      <c r="C30" s="57">
        <v>0</v>
      </c>
      <c r="D30" s="57">
        <v>0</v>
      </c>
      <c r="E30" s="57">
        <v>0</v>
      </c>
      <c r="F30" s="57">
        <v>0</v>
      </c>
      <c r="G30" s="57">
        <v>0</v>
      </c>
      <c r="H30" s="57">
        <v>0</v>
      </c>
      <c r="I30" s="57">
        <v>0</v>
      </c>
      <c r="J30" s="57">
        <v>0</v>
      </c>
      <c r="K30" s="57">
        <v>0</v>
      </c>
    </row>
    <row r="31" spans="1:11" ht="20.25" customHeight="1">
      <c r="A31" s="8">
        <v>46192</v>
      </c>
      <c r="B31" s="57">
        <v>0</v>
      </c>
      <c r="C31" s="57">
        <v>0</v>
      </c>
      <c r="D31" s="57">
        <v>0</v>
      </c>
      <c r="E31" s="57">
        <v>0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</row>
    <row r="32" spans="1:11" ht="20.25" customHeight="1">
      <c r="A32" s="8">
        <v>46193</v>
      </c>
      <c r="B32" s="57">
        <v>0</v>
      </c>
      <c r="C32" s="57">
        <v>0</v>
      </c>
      <c r="D32" s="57">
        <v>0</v>
      </c>
      <c r="E32" s="57">
        <v>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</row>
    <row r="33" spans="1:12" ht="20.25" customHeight="1">
      <c r="A33" s="8">
        <v>46194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</row>
    <row r="34" spans="1:12" ht="21">
      <c r="A34" s="8">
        <v>46195</v>
      </c>
      <c r="B34" s="57">
        <v>0</v>
      </c>
      <c r="C34" s="57">
        <v>0</v>
      </c>
      <c r="D34" s="57">
        <v>0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</row>
    <row r="35" spans="1:12" ht="21">
      <c r="A35" s="8">
        <v>46196</v>
      </c>
      <c r="B35" s="57">
        <v>0</v>
      </c>
      <c r="C35" s="57">
        <v>0</v>
      </c>
      <c r="D35" s="57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</row>
    <row r="36" spans="1:12" ht="20.25" customHeight="1">
      <c r="A36" s="8">
        <v>46197</v>
      </c>
      <c r="B36" s="57">
        <v>0</v>
      </c>
      <c r="C36" s="57">
        <v>0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</row>
    <row r="37" spans="1:12" ht="21">
      <c r="A37" s="8">
        <v>46198</v>
      </c>
      <c r="B37" s="57">
        <v>0</v>
      </c>
      <c r="C37" s="57">
        <v>0</v>
      </c>
      <c r="D37" s="57">
        <v>0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</row>
    <row r="38" spans="1:12" ht="21">
      <c r="A38" s="8">
        <v>46199</v>
      </c>
      <c r="B38" s="57">
        <v>0</v>
      </c>
      <c r="C38" s="57">
        <v>0</v>
      </c>
      <c r="D38" s="57">
        <v>0</v>
      </c>
      <c r="E38" s="57">
        <v>0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</row>
    <row r="39" spans="1:12" ht="21">
      <c r="A39" s="8">
        <v>46200</v>
      </c>
      <c r="B39" s="57">
        <v>0</v>
      </c>
      <c r="C39" s="57">
        <v>0</v>
      </c>
      <c r="D39" s="57">
        <v>0</v>
      </c>
      <c r="E39" s="57">
        <v>0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0</v>
      </c>
    </row>
    <row r="40" spans="1:12" ht="21">
      <c r="A40" s="8">
        <v>46201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</row>
    <row r="41" spans="1:12" ht="21">
      <c r="A41" s="8">
        <v>46202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</row>
    <row r="42" spans="1:12" ht="21.75" thickBot="1">
      <c r="A42" s="8">
        <v>46203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0</v>
      </c>
      <c r="H42" s="57">
        <v>0</v>
      </c>
      <c r="I42" s="57">
        <v>0</v>
      </c>
      <c r="J42" s="57">
        <v>0</v>
      </c>
      <c r="K42" s="57">
        <v>0</v>
      </c>
    </row>
    <row r="43" spans="1:12" ht="24.75" thickTop="1" thickBot="1">
      <c r="A43" s="13"/>
      <c r="B43" s="14">
        <f t="shared" ref="B43:K43" si="0">SUM(B10:B42)</f>
        <v>0</v>
      </c>
      <c r="C43" s="14">
        <f>SUM(C10:C42)</f>
        <v>0</v>
      </c>
      <c r="D43" s="14">
        <f t="shared" si="0"/>
        <v>0</v>
      </c>
      <c r="E43" s="14">
        <f t="shared" si="0"/>
        <v>0</v>
      </c>
      <c r="F43" s="14">
        <f t="shared" si="0"/>
        <v>0</v>
      </c>
      <c r="G43" s="14">
        <f t="shared" si="0"/>
        <v>0</v>
      </c>
      <c r="H43" s="14">
        <f t="shared" si="0"/>
        <v>0</v>
      </c>
      <c r="I43" s="14">
        <f t="shared" si="0"/>
        <v>0</v>
      </c>
      <c r="J43" s="14">
        <f t="shared" si="0"/>
        <v>0</v>
      </c>
      <c r="K43" s="14">
        <f t="shared" si="0"/>
        <v>0</v>
      </c>
      <c r="L43" s="53">
        <f>SUM(B43:K43)</f>
        <v>0</v>
      </c>
    </row>
    <row r="44" spans="1:12" ht="19.5" thickTop="1">
      <c r="A44" s="25"/>
      <c r="B44" s="25"/>
      <c r="C44" s="25"/>
      <c r="D44" s="25"/>
      <c r="E44" s="25"/>
      <c r="F44" s="25"/>
      <c r="G44" s="25"/>
    </row>
    <row r="45" spans="1:12" ht="18.75">
      <c r="A45" s="25"/>
      <c r="E45" s="25"/>
      <c r="F45" s="25"/>
      <c r="G45" s="25"/>
    </row>
    <row r="46" spans="1:12" ht="18.75">
      <c r="A46" s="25"/>
      <c r="E46" s="25"/>
      <c r="F46" s="25"/>
      <c r="G46" s="25"/>
    </row>
    <row r="47" spans="1:12" ht="18.75">
      <c r="A47" s="25"/>
      <c r="B47" s="25"/>
      <c r="C47" s="25"/>
      <c r="D47" s="25"/>
      <c r="E47" s="25"/>
      <c r="F47" s="25"/>
      <c r="G47" s="25"/>
    </row>
    <row r="48" spans="1:12" ht="18.75">
      <c r="A48" s="25"/>
      <c r="B48" s="25"/>
      <c r="C48" s="25"/>
      <c r="D48" s="25"/>
      <c r="E48" s="25"/>
      <c r="F48" s="25"/>
      <c r="G48" s="25"/>
    </row>
    <row r="49" spans="1:7" ht="18.75">
      <c r="A49" s="25"/>
      <c r="B49" s="25"/>
      <c r="C49" s="25"/>
      <c r="D49" s="25"/>
      <c r="E49" s="25"/>
      <c r="F49" s="25"/>
      <c r="G49" s="25"/>
    </row>
    <row r="50" spans="1:7" ht="18.75">
      <c r="A50" s="25"/>
      <c r="B50" s="25"/>
      <c r="C50" s="25"/>
      <c r="D50" s="25"/>
      <c r="E50" s="25"/>
      <c r="F50" s="25"/>
      <c r="G50" s="25"/>
    </row>
    <row r="51" spans="1:7" ht="18.75">
      <c r="A51" s="25"/>
      <c r="B51" s="25"/>
      <c r="C51" s="25"/>
      <c r="D51" s="25"/>
      <c r="E51" s="25"/>
      <c r="F51" s="25"/>
      <c r="G51" s="25"/>
    </row>
  </sheetData>
  <sheetProtection selectLockedCells="1" selectUnlockedCells="1"/>
  <mergeCells count="12">
    <mergeCell ref="F8:F9"/>
    <mergeCell ref="L9:N9"/>
    <mergeCell ref="G8:G9"/>
    <mergeCell ref="H8:H9"/>
    <mergeCell ref="J8:J9"/>
    <mergeCell ref="K8:K9"/>
    <mergeCell ref="I8:I9"/>
    <mergeCell ref="A8:A9"/>
    <mergeCell ref="B8:B9"/>
    <mergeCell ref="C8:C9"/>
    <mergeCell ref="D8:D9"/>
    <mergeCell ref="E8:E9"/>
  </mergeCells>
  <pageMargins left="0.75" right="0.75" top="1" bottom="1" header="0" footer="0"/>
  <pageSetup scale="80" orientation="landscape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6:G23"/>
  <sheetViews>
    <sheetView zoomScale="80" zoomScaleNormal="80" workbookViewId="0">
      <selection activeCell="A8" sqref="A8:E11"/>
    </sheetView>
  </sheetViews>
  <sheetFormatPr baseColWidth="10" defaultColWidth="11.42578125" defaultRowHeight="15"/>
  <cols>
    <col min="1" max="1" width="15.5703125" style="4" customWidth="1"/>
    <col min="2" max="2" width="68.42578125" style="4" customWidth="1"/>
    <col min="3" max="3" width="76.7109375" style="4" customWidth="1"/>
    <col min="4" max="4" width="22.42578125" style="4" customWidth="1"/>
    <col min="5" max="5" width="11.42578125" style="4"/>
    <col min="6" max="6" width="1.85546875" style="4" customWidth="1"/>
    <col min="7" max="7" width="32.42578125" style="4" bestFit="1" customWidth="1"/>
    <col min="8" max="16384" width="11.42578125" style="4"/>
  </cols>
  <sheetData>
    <row r="6" spans="1:7" ht="15.75" thickBot="1"/>
    <row r="7" spans="1:7" ht="33" thickTop="1" thickBot="1">
      <c r="A7" s="42" t="s">
        <v>26</v>
      </c>
      <c r="B7" s="43" t="s">
        <v>27</v>
      </c>
      <c r="C7" s="43" t="s">
        <v>28</v>
      </c>
      <c r="D7" s="43" t="s">
        <v>29</v>
      </c>
      <c r="E7" s="42" t="s">
        <v>30</v>
      </c>
      <c r="G7" s="32"/>
    </row>
    <row r="8" spans="1:7" ht="15.75" thickTop="1">
      <c r="A8" s="106"/>
      <c r="B8" s="59"/>
      <c r="C8" s="97"/>
      <c r="D8" s="121"/>
      <c r="E8" s="105"/>
    </row>
    <row r="9" spans="1:7">
      <c r="A9" s="107"/>
      <c r="B9" s="59"/>
      <c r="C9" s="97"/>
      <c r="D9" s="121"/>
      <c r="E9" s="105"/>
    </row>
    <row r="10" spans="1:7" ht="22.5" customHeight="1">
      <c r="A10" s="107"/>
      <c r="B10" s="59"/>
      <c r="C10" s="88"/>
      <c r="D10" s="121"/>
      <c r="E10" s="105"/>
    </row>
    <row r="11" spans="1:7">
      <c r="A11" s="106"/>
      <c r="B11" s="59"/>
      <c r="C11" s="97"/>
      <c r="D11" s="121"/>
      <c r="E11" s="105"/>
    </row>
    <row r="12" spans="1:7">
      <c r="A12" s="63"/>
      <c r="B12" s="59"/>
      <c r="C12" s="60"/>
      <c r="D12" s="91"/>
      <c r="E12" s="62"/>
    </row>
    <row r="13" spans="1:7">
      <c r="A13" s="63"/>
      <c r="B13" s="59"/>
      <c r="C13" s="60"/>
      <c r="D13" s="61"/>
      <c r="E13" s="62"/>
    </row>
    <row r="14" spans="1:7">
      <c r="A14" s="63"/>
      <c r="B14" s="59"/>
      <c r="C14" s="60"/>
      <c r="D14" s="61"/>
      <c r="E14" s="62"/>
      <c r="F14"/>
      <c r="G14"/>
    </row>
    <row r="15" spans="1:7">
      <c r="A15" s="63"/>
      <c r="B15" s="59"/>
      <c r="C15" s="60"/>
      <c r="D15" s="61"/>
      <c r="E15" s="62"/>
    </row>
    <row r="16" spans="1:7">
      <c r="A16" s="63"/>
      <c r="B16" s="64"/>
      <c r="C16" s="64"/>
      <c r="D16" s="65"/>
      <c r="E16" s="66"/>
    </row>
    <row r="17" spans="1:5">
      <c r="A17" s="63"/>
      <c r="B17" s="59"/>
      <c r="C17" s="60"/>
      <c r="D17" s="61"/>
      <c r="E17" s="63"/>
    </row>
    <row r="18" spans="1:5">
      <c r="A18" s="63"/>
      <c r="B18" s="59"/>
      <c r="C18" s="60"/>
      <c r="D18" s="61"/>
      <c r="E18" s="63"/>
    </row>
    <row r="19" spans="1:5">
      <c r="A19" s="67"/>
      <c r="B19" s="68"/>
      <c r="C19" s="69"/>
      <c r="D19" s="70"/>
      <c r="E19" s="67"/>
    </row>
    <row r="20" spans="1:5">
      <c r="A20" s="67"/>
      <c r="B20" s="68"/>
      <c r="C20" s="69"/>
      <c r="D20" s="70"/>
      <c r="E20" s="67"/>
    </row>
    <row r="21" spans="1:5" ht="16.5" thickBot="1">
      <c r="A21" s="39"/>
      <c r="B21" s="39"/>
      <c r="C21" s="39"/>
      <c r="D21" s="39"/>
      <c r="E21" s="39"/>
    </row>
    <row r="22" spans="1:5" ht="17.25" thickTop="1" thickBot="1">
      <c r="A22" s="39"/>
      <c r="B22" s="40"/>
      <c r="C22" s="40"/>
      <c r="D22" s="41">
        <f>SUM(D8:D20)</f>
        <v>0</v>
      </c>
      <c r="E22" s="39"/>
    </row>
    <row r="23" spans="1:5" ht="15.75" thickTop="1"/>
  </sheetData>
  <sheetProtection selectLockedCells="1" selectUnlockedCells="1"/>
  <protectedRanges>
    <protectedRange sqref="B13:D13" name="Rango1_1"/>
    <protectedRange sqref="D8" name="Rango1_2"/>
    <protectedRange sqref="B8" name="Rango1_8"/>
  </protectedRanges>
  <autoFilter ref="B7:D19" xr:uid="{00000000-0009-0000-0000-000004000000}">
    <sortState xmlns:xlrd2="http://schemas.microsoft.com/office/spreadsheetml/2017/richdata2" ref="B8:D20">
      <sortCondition descending="1" ref="D7:D20"/>
    </sortState>
  </autoFilter>
  <sortState xmlns:xlrd2="http://schemas.microsoft.com/office/spreadsheetml/2017/richdata2" ref="B8:E11">
    <sortCondition descending="1" ref="D8:D11"/>
  </sortState>
  <conditionalFormatting sqref="B8:B15">
    <cfRule type="expression" dxfId="3" priority="1" stopIfTrue="1">
      <formula>IF(XFC8=$F$1610,B8)</formula>
    </cfRule>
  </conditionalFormatting>
  <conditionalFormatting sqref="B17:B18">
    <cfRule type="expression" dxfId="2" priority="188" stopIfTrue="1">
      <formula>IF(XFC17=$F$1610,B17)</formula>
    </cfRule>
  </conditionalFormatting>
  <conditionalFormatting sqref="D8:D15">
    <cfRule type="expression" dxfId="1" priority="2" stopIfTrue="1">
      <formula>IF(XFC8=$F$1610,D8)</formula>
    </cfRule>
  </conditionalFormatting>
  <conditionalFormatting sqref="D17:D18">
    <cfRule type="expression" dxfId="0" priority="187" stopIfTrue="1">
      <formula>IF(XFC17=$F$1610,D17)</formula>
    </cfRule>
  </conditionalFormatting>
  <pageMargins left="0.75" right="0.75" top="1" bottom="1" header="0" footer="0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"/>
  <sheetViews>
    <sheetView zoomScale="80" zoomScaleNormal="80" workbookViewId="0">
      <selection activeCell="D8" sqref="A8:D9"/>
    </sheetView>
  </sheetViews>
  <sheetFormatPr baseColWidth="10" defaultColWidth="11.42578125" defaultRowHeight="15"/>
  <cols>
    <col min="1" max="1" width="13.42578125" style="4" customWidth="1"/>
    <col min="2" max="2" width="73.42578125" style="4" customWidth="1"/>
    <col min="3" max="3" width="73.7109375" style="4" customWidth="1"/>
    <col min="4" max="4" width="22.42578125" style="4" customWidth="1"/>
    <col min="5" max="16384" width="11.42578125" style="4"/>
  </cols>
  <sheetData>
    <row r="1" spans="1:5">
      <c r="A1" s="4" t="s">
        <v>31</v>
      </c>
    </row>
    <row r="6" spans="1:5" ht="15.75" thickBot="1"/>
    <row r="7" spans="1:5" ht="33" thickTop="1" thickBot="1">
      <c r="A7" s="5" t="s">
        <v>26</v>
      </c>
      <c r="B7" s="28" t="s">
        <v>27</v>
      </c>
      <c r="C7" s="28" t="s">
        <v>28</v>
      </c>
      <c r="D7" s="28" t="s">
        <v>29</v>
      </c>
      <c r="E7" s="5" t="s">
        <v>30</v>
      </c>
    </row>
    <row r="8" spans="1:5" ht="15.75" thickTop="1">
      <c r="A8" s="58"/>
      <c r="B8" s="71"/>
      <c r="C8" s="71"/>
      <c r="D8" s="109"/>
      <c r="E8" s="108">
        <v>1</v>
      </c>
    </row>
    <row r="9" spans="1:5">
      <c r="A9" s="58"/>
      <c r="B9" s="71"/>
      <c r="C9" s="71"/>
      <c r="D9" s="109"/>
      <c r="E9" s="108">
        <v>1</v>
      </c>
    </row>
    <row r="10" spans="1:5">
      <c r="A10" s="58"/>
      <c r="B10" s="71"/>
      <c r="C10" s="71"/>
      <c r="D10" s="72"/>
      <c r="E10" s="73"/>
    </row>
    <row r="11" spans="1:5">
      <c r="A11" s="58"/>
      <c r="B11" s="79"/>
      <c r="C11" s="71"/>
      <c r="D11" s="72"/>
      <c r="E11" s="73"/>
    </row>
    <row r="12" spans="1:5">
      <c r="A12" s="74"/>
      <c r="B12" s="79"/>
      <c r="C12" s="71"/>
      <c r="D12" s="72"/>
      <c r="E12" s="73"/>
    </row>
    <row r="13" spans="1:5">
      <c r="A13" s="74"/>
      <c r="B13" s="71"/>
      <c r="C13" s="64"/>
      <c r="D13" s="72"/>
      <c r="E13" s="73"/>
    </row>
    <row r="14" spans="1:5">
      <c r="A14" s="74"/>
      <c r="B14" s="71"/>
      <c r="C14" s="71"/>
      <c r="D14" s="72"/>
      <c r="E14" s="73"/>
    </row>
    <row r="15" spans="1:5">
      <c r="A15" s="74"/>
      <c r="B15" s="71"/>
      <c r="C15" s="71"/>
      <c r="D15" s="72"/>
      <c r="E15" s="73"/>
    </row>
    <row r="16" spans="1:5">
      <c r="A16" s="74"/>
      <c r="B16" s="71"/>
      <c r="C16" s="71"/>
      <c r="D16" s="72"/>
      <c r="E16" s="73"/>
    </row>
    <row r="17" spans="1:5">
      <c r="A17" s="74"/>
      <c r="B17" s="71"/>
      <c r="C17" s="71"/>
      <c r="D17" s="72"/>
      <c r="E17" s="73"/>
    </row>
    <row r="18" spans="1:5">
      <c r="A18" s="74"/>
      <c r="B18" s="71"/>
      <c r="C18" s="71"/>
      <c r="D18" s="72"/>
      <c r="E18" s="73"/>
    </row>
    <row r="19" spans="1:5">
      <c r="A19" s="74"/>
      <c r="B19" s="71"/>
      <c r="C19" s="71"/>
      <c r="D19" s="72"/>
      <c r="E19" s="73"/>
    </row>
    <row r="20" spans="1:5">
      <c r="A20" s="74"/>
      <c r="B20" s="71"/>
      <c r="C20" s="71"/>
      <c r="D20" s="72"/>
      <c r="E20" s="73"/>
    </row>
    <row r="21" spans="1:5">
      <c r="A21" s="74"/>
      <c r="B21" s="71"/>
      <c r="C21" s="71"/>
      <c r="D21" s="72"/>
      <c r="E21" s="73"/>
    </row>
    <row r="22" spans="1:5" ht="15.75" thickBot="1"/>
    <row r="23" spans="1:5" ht="18.75" thickTop="1" thickBot="1">
      <c r="B23" s="6"/>
      <c r="C23" s="6"/>
      <c r="D23" s="7">
        <f>SUM(D8:D22)</f>
        <v>0</v>
      </c>
    </row>
    <row r="24" spans="1:5" ht="15.75" thickTop="1"/>
    <row r="28" spans="1:5">
      <c r="B28" s="33"/>
    </row>
  </sheetData>
  <sheetProtection selectLockedCells="1" selectUnlockedCells="1"/>
  <protectedRanges>
    <protectedRange sqref="D9:D10" name="Rango1_2"/>
    <protectedRange sqref="B9:B10" name="Rango1_7"/>
    <protectedRange sqref="B19:D19 C17:C18 B16:D16" name="Rango1_1"/>
    <protectedRange sqref="D17:D18 D11:D15" name="Rango1_8"/>
    <protectedRange sqref="B8 D8" name="Rango1_8_1"/>
  </protectedRanges>
  <autoFilter ref="B7:D21" xr:uid="{00000000-0009-0000-0000-000005000000}"/>
  <sortState xmlns:xlrd2="http://schemas.microsoft.com/office/spreadsheetml/2017/richdata2" ref="A8:E10">
    <sortCondition descending="1" ref="D8:D10"/>
  </sortState>
  <pageMargins left="0.75" right="0.75" top="1" bottom="1" header="0" footer="0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6:F25"/>
  <sheetViews>
    <sheetView zoomScale="80" zoomScaleNormal="80" workbookViewId="0">
      <selection activeCell="D8" sqref="A8:D11"/>
    </sheetView>
  </sheetViews>
  <sheetFormatPr baseColWidth="10" defaultColWidth="11.42578125" defaultRowHeight="15"/>
  <cols>
    <col min="1" max="1" width="13.42578125" style="4" customWidth="1"/>
    <col min="2" max="2" width="50.28515625" style="4" customWidth="1"/>
    <col min="3" max="3" width="84.7109375" style="4" customWidth="1"/>
    <col min="4" max="4" width="22.42578125" style="4" customWidth="1"/>
    <col min="5" max="16384" width="11.42578125" style="4"/>
  </cols>
  <sheetData>
    <row r="6" spans="1:6" ht="15.75" thickBot="1"/>
    <row r="7" spans="1:6" ht="33" thickTop="1" thickBot="1">
      <c r="A7" s="5" t="s">
        <v>26</v>
      </c>
      <c r="B7" s="28" t="s">
        <v>27</v>
      </c>
      <c r="C7" s="28" t="s">
        <v>28</v>
      </c>
      <c r="D7" s="28" t="s">
        <v>29</v>
      </c>
      <c r="E7" s="5" t="s">
        <v>30</v>
      </c>
    </row>
    <row r="8" spans="1:6" ht="15.75" thickTop="1">
      <c r="A8" s="75"/>
      <c r="B8" s="65"/>
      <c r="C8" s="71"/>
      <c r="D8" s="109"/>
      <c r="E8" s="108">
        <v>4</v>
      </c>
    </row>
    <row r="9" spans="1:6">
      <c r="A9" s="74"/>
      <c r="B9" s="71"/>
      <c r="C9" s="71"/>
      <c r="D9" s="109"/>
      <c r="E9" s="108">
        <v>1</v>
      </c>
    </row>
    <row r="10" spans="1:6">
      <c r="A10" s="71"/>
      <c r="B10" s="79"/>
      <c r="C10" s="95"/>
      <c r="D10" s="113"/>
      <c r="E10" s="108">
        <v>1</v>
      </c>
    </row>
    <row r="11" spans="1:6">
      <c r="A11" s="67"/>
      <c r="B11" s="65"/>
      <c r="C11" s="98"/>
      <c r="D11" s="114"/>
      <c r="E11" s="115">
        <v>1</v>
      </c>
    </row>
    <row r="12" spans="1:6">
      <c r="A12" s="74"/>
      <c r="B12" s="71"/>
      <c r="C12" s="71"/>
      <c r="D12" s="72"/>
      <c r="E12" s="74"/>
      <c r="F12"/>
    </row>
    <row r="13" spans="1:6">
      <c r="A13" s="67"/>
      <c r="B13" s="65"/>
      <c r="C13" s="64"/>
      <c r="D13" s="65"/>
      <c r="E13" s="74"/>
    </row>
    <row r="14" spans="1:6">
      <c r="A14" s="67"/>
      <c r="B14" s="77"/>
      <c r="C14" s="78"/>
      <c r="D14" s="77"/>
      <c r="E14" s="79"/>
    </row>
    <row r="15" spans="1:6">
      <c r="A15" s="67"/>
      <c r="B15" s="65"/>
      <c r="C15" s="65"/>
      <c r="D15" s="65"/>
      <c r="E15" s="74"/>
    </row>
    <row r="16" spans="1:6">
      <c r="A16" s="67"/>
      <c r="B16" s="65"/>
      <c r="C16" s="65"/>
      <c r="D16" s="80"/>
      <c r="E16" s="74"/>
    </row>
    <row r="17" spans="1:5">
      <c r="A17" s="67"/>
      <c r="B17" s="77"/>
      <c r="C17" s="77"/>
      <c r="D17" s="80"/>
      <c r="E17" s="67"/>
    </row>
    <row r="18" spans="1:5">
      <c r="A18" s="67"/>
      <c r="B18" s="64"/>
      <c r="C18" s="64"/>
      <c r="D18" s="81"/>
      <c r="E18" s="67"/>
    </row>
    <row r="19" spans="1:5" ht="15.75" thickBot="1"/>
    <row r="20" spans="1:5" ht="18.75" thickTop="1" thickBot="1">
      <c r="B20" s="6"/>
      <c r="C20" s="6"/>
      <c r="D20" s="7">
        <f>SUM(D8:D19)</f>
        <v>0</v>
      </c>
    </row>
    <row r="21" spans="1:5" ht="15.75" thickTop="1">
      <c r="D21" s="38"/>
    </row>
    <row r="25" spans="1:5">
      <c r="B25" s="33"/>
    </row>
  </sheetData>
  <sheetProtection selectLockedCells="1" selectUnlockedCells="1"/>
  <protectedRanges>
    <protectedRange sqref="C10:D10" name="Rango1_4"/>
  </protectedRanges>
  <autoFilter ref="B7:D18" xr:uid="{00000000-0009-0000-0000-000006000000}">
    <sortState xmlns:xlrd2="http://schemas.microsoft.com/office/spreadsheetml/2017/richdata2" ref="B8:D16">
      <sortCondition descending="1" ref="D7:D16"/>
    </sortState>
  </autoFilter>
  <sortState xmlns:xlrd2="http://schemas.microsoft.com/office/spreadsheetml/2017/richdata2" ref="A8:E9">
    <sortCondition descending="1" ref="D8:D9"/>
  </sortState>
  <pageMargins left="0.75" right="0.75" top="1" bottom="1" header="0" footer="0"/>
  <pageSetup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topLeftCell="A3" zoomScale="80" zoomScaleNormal="80" workbookViewId="0">
      <selection activeCell="D8" sqref="A8:D11"/>
    </sheetView>
  </sheetViews>
  <sheetFormatPr baseColWidth="10" defaultColWidth="11.42578125" defaultRowHeight="15"/>
  <cols>
    <col min="1" max="1" width="13.42578125" style="4" customWidth="1"/>
    <col min="2" max="2" width="70.140625" style="4" customWidth="1"/>
    <col min="3" max="3" width="84.42578125" style="4" customWidth="1"/>
    <col min="4" max="4" width="22.42578125" style="4" customWidth="1"/>
    <col min="5" max="16384" width="11.42578125" style="4"/>
  </cols>
  <sheetData>
    <row r="1" spans="1:7">
      <c r="A1" s="4">
        <v>74</v>
      </c>
    </row>
    <row r="6" spans="1:7" ht="15.75" thickBot="1"/>
    <row r="7" spans="1:7" ht="81" customHeight="1" thickTop="1" thickBot="1">
      <c r="A7" s="5" t="s">
        <v>26</v>
      </c>
      <c r="B7" s="28" t="s">
        <v>27</v>
      </c>
      <c r="C7" s="28" t="s">
        <v>28</v>
      </c>
      <c r="D7" s="28" t="s">
        <v>29</v>
      </c>
      <c r="E7" s="5" t="s">
        <v>30</v>
      </c>
    </row>
    <row r="8" spans="1:7" ht="15.75" thickTop="1">
      <c r="A8" s="76"/>
      <c r="B8" s="71"/>
      <c r="C8" s="93"/>
      <c r="D8" s="109"/>
      <c r="E8" s="105">
        <v>1</v>
      </c>
      <c r="F8" s="37"/>
      <c r="G8" s="36"/>
    </row>
    <row r="9" spans="1:7">
      <c r="A9" s="76"/>
      <c r="B9" s="71"/>
      <c r="C9" s="93"/>
      <c r="D9" s="109"/>
      <c r="E9" s="105">
        <v>1</v>
      </c>
      <c r="F9" s="37"/>
      <c r="G9" s="36"/>
    </row>
    <row r="10" spans="1:7">
      <c r="A10" s="76"/>
      <c r="B10" s="71"/>
      <c r="C10" s="71"/>
      <c r="D10" s="109"/>
      <c r="E10" s="105">
        <v>1</v>
      </c>
      <c r="F10" s="37"/>
      <c r="G10" s="36"/>
    </row>
    <row r="11" spans="1:7">
      <c r="A11" s="76"/>
      <c r="B11" s="71"/>
      <c r="C11" s="71"/>
      <c r="D11" s="109"/>
      <c r="E11" s="105">
        <v>1</v>
      </c>
      <c r="F11" s="37"/>
      <c r="G11" s="36"/>
    </row>
    <row r="12" spans="1:7">
      <c r="A12" s="76"/>
      <c r="B12" s="71"/>
      <c r="C12" s="71"/>
      <c r="D12" s="109"/>
      <c r="E12" s="62"/>
      <c r="F12" s="37"/>
      <c r="G12" s="36"/>
    </row>
    <row r="13" spans="1:7">
      <c r="A13" s="76"/>
      <c r="B13" s="71"/>
      <c r="C13" s="71"/>
      <c r="D13" s="109"/>
      <c r="E13" s="62"/>
      <c r="F13" s="37"/>
      <c r="G13" s="36"/>
    </row>
    <row r="14" spans="1:7">
      <c r="A14" s="76"/>
      <c r="B14" s="71"/>
      <c r="C14" s="71"/>
      <c r="D14" s="109"/>
      <c r="E14" s="62"/>
      <c r="F14" s="37"/>
      <c r="G14" s="36"/>
    </row>
    <row r="15" spans="1:7">
      <c r="A15" s="76"/>
      <c r="B15" s="71"/>
      <c r="C15" s="71"/>
      <c r="D15" s="71"/>
      <c r="E15" s="62"/>
      <c r="F15" s="37"/>
      <c r="G15" s="36"/>
    </row>
    <row r="16" spans="1:7">
      <c r="A16" s="76"/>
      <c r="B16" s="71"/>
      <c r="C16" s="71"/>
      <c r="D16" s="71"/>
      <c r="E16" s="62"/>
      <c r="F16" s="37"/>
      <c r="G16" s="36"/>
    </row>
    <row r="17" spans="1:6">
      <c r="A17" s="76"/>
      <c r="B17" s="71"/>
      <c r="C17" s="71"/>
      <c r="D17" s="71"/>
      <c r="E17" s="62"/>
      <c r="F17" s="36"/>
    </row>
    <row r="18" spans="1:6">
      <c r="A18" s="76"/>
      <c r="B18" s="71"/>
      <c r="C18" s="71"/>
      <c r="D18" s="71"/>
      <c r="E18" s="62"/>
      <c r="F18" s="36"/>
    </row>
    <row r="19" spans="1:6">
      <c r="A19" s="76"/>
      <c r="B19" s="71"/>
      <c r="C19" s="71"/>
      <c r="D19" s="71"/>
      <c r="E19" s="62"/>
    </row>
    <row r="20" spans="1:6">
      <c r="A20" s="76"/>
      <c r="B20" s="71"/>
      <c r="C20" s="71"/>
      <c r="D20" s="71"/>
      <c r="E20" s="62"/>
    </row>
    <row r="21" spans="1:6" ht="15.75" thickBot="1"/>
    <row r="22" spans="1:6" ht="18.75" thickTop="1" thickBot="1">
      <c r="B22" s="6"/>
      <c r="C22" s="6"/>
      <c r="D22" s="7">
        <f>SUM(D8:D20)</f>
        <v>0</v>
      </c>
    </row>
    <row r="23" spans="1:6" ht="15.75" thickTop="1"/>
    <row r="25" spans="1:6">
      <c r="B25" s="33"/>
    </row>
  </sheetData>
  <sheetProtection formatCells="0" formatColumns="0" formatRows="0" insertColumns="0" insertRows="0" insertHyperlinks="0" deleteColumns="0" deleteRows="0" sort="0" autoFilter="0" pivotTables="0"/>
  <protectedRanges>
    <protectedRange sqref="B20:D20" name="Rango1_9"/>
    <protectedRange sqref="D8" name="Rango1_12"/>
    <protectedRange sqref="B8" name="Rango1_10"/>
    <protectedRange sqref="B16:D17 B13:C13 B9:B12" name="Rango1_13"/>
    <protectedRange sqref="B19:D19 C18" name="Rango1_15"/>
    <protectedRange sqref="B18 D18" name="Rango1_3"/>
    <protectedRange sqref="C8 D13 C9:D12" name="Rango1_5"/>
  </protectedRanges>
  <autoFilter ref="B7:D20" xr:uid="{00000000-0009-0000-0000-000007000000}">
    <sortState xmlns:xlrd2="http://schemas.microsoft.com/office/spreadsheetml/2017/richdata2" ref="B8:D20">
      <sortCondition descending="1" ref="D7:D20"/>
    </sortState>
  </autoFilter>
  <sortState xmlns:xlrd2="http://schemas.microsoft.com/office/spreadsheetml/2017/richdata2" ref="A8:E13">
    <sortCondition descending="1" ref="D8:D13"/>
  </sortState>
  <pageMargins left="0.75" right="0.75" top="1" bottom="1" header="0" footer="0"/>
  <pageSetup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6:E22"/>
  <sheetViews>
    <sheetView zoomScale="80" zoomScaleNormal="80" workbookViewId="0">
      <selection activeCell="D8" sqref="A8:D13"/>
    </sheetView>
  </sheetViews>
  <sheetFormatPr baseColWidth="10" defaultColWidth="11.42578125" defaultRowHeight="15"/>
  <cols>
    <col min="1" max="1" width="13.42578125" style="4" customWidth="1"/>
    <col min="2" max="2" width="55.140625" style="4" customWidth="1"/>
    <col min="3" max="3" width="79.85546875" style="4" customWidth="1"/>
    <col min="4" max="4" width="22.42578125" style="4" customWidth="1"/>
    <col min="5" max="16384" width="11.42578125" style="4"/>
  </cols>
  <sheetData>
    <row r="6" spans="1:5" ht="15.75" thickBot="1"/>
    <row r="7" spans="1:5" ht="33" thickTop="1" thickBot="1">
      <c r="A7" s="5" t="s">
        <v>26</v>
      </c>
      <c r="B7" s="28" t="s">
        <v>27</v>
      </c>
      <c r="C7" s="28" t="s">
        <v>28</v>
      </c>
      <c r="D7" s="28" t="s">
        <v>29</v>
      </c>
      <c r="E7" s="5" t="s">
        <v>30</v>
      </c>
    </row>
    <row r="8" spans="1:5" ht="15.75" thickTop="1">
      <c r="A8" s="61"/>
      <c r="B8" s="96"/>
      <c r="C8" s="96"/>
      <c r="D8" s="110"/>
      <c r="E8" s="119">
        <v>1</v>
      </c>
    </row>
    <row r="9" spans="1:5">
      <c r="A9" s="61"/>
      <c r="B9" s="71"/>
      <c r="C9" s="71"/>
      <c r="D9" s="109"/>
      <c r="E9" s="119">
        <v>1</v>
      </c>
    </row>
    <row r="10" spans="1:5">
      <c r="A10" s="70"/>
      <c r="B10" s="71"/>
      <c r="C10" s="71"/>
      <c r="D10" s="109"/>
      <c r="E10" s="120">
        <v>1</v>
      </c>
    </row>
    <row r="11" spans="1:5">
      <c r="A11" s="90"/>
      <c r="B11" s="71"/>
      <c r="C11" s="93"/>
      <c r="D11" s="109"/>
      <c r="E11" s="120">
        <v>1</v>
      </c>
    </row>
    <row r="12" spans="1:5">
      <c r="A12" s="90"/>
      <c r="B12" s="71"/>
      <c r="C12" s="93"/>
      <c r="D12" s="109"/>
      <c r="E12" s="120">
        <v>1</v>
      </c>
    </row>
    <row r="13" spans="1:5">
      <c r="A13" s="70"/>
      <c r="B13" s="96"/>
      <c r="C13" s="96"/>
      <c r="D13" s="110"/>
      <c r="E13" s="120">
        <v>1</v>
      </c>
    </row>
    <row r="14" spans="1:5" ht="15.75">
      <c r="A14" s="44"/>
      <c r="B14" s="79"/>
      <c r="C14" s="79"/>
      <c r="D14" s="89"/>
      <c r="E14" s="49"/>
    </row>
    <row r="15" spans="1:5" ht="15.75">
      <c r="A15" s="44"/>
      <c r="B15" s="56"/>
      <c r="C15" s="56"/>
      <c r="D15" s="111"/>
      <c r="E15" s="31"/>
    </row>
    <row r="16" spans="1:5" ht="15.75">
      <c r="A16" s="44"/>
      <c r="B16" s="56"/>
      <c r="C16" s="56"/>
      <c r="D16" s="51"/>
      <c r="E16" s="45"/>
    </row>
    <row r="17" spans="1:5" ht="15.75">
      <c r="A17" s="44"/>
      <c r="B17" s="56"/>
      <c r="C17" s="56"/>
      <c r="D17" s="56"/>
      <c r="E17" s="48"/>
    </row>
    <row r="18" spans="1:5" ht="15.75">
      <c r="A18" s="44"/>
      <c r="B18" s="56"/>
      <c r="C18" s="56"/>
      <c r="D18" s="94"/>
      <c r="E18" s="49"/>
    </row>
    <row r="19" spans="1:5" ht="15.75" thickBot="1">
      <c r="A19" s="47"/>
      <c r="B19" s="54"/>
      <c r="C19" s="52"/>
      <c r="D19" s="55"/>
      <c r="E19" s="31"/>
    </row>
    <row r="20" spans="1:5" ht="16.5" thickTop="1" thickBot="1"/>
    <row r="21" spans="1:5" ht="18.75" thickTop="1" thickBot="1">
      <c r="B21" s="6"/>
      <c r="C21" s="6"/>
      <c r="D21" s="7">
        <f>SUM(D8:D20)</f>
        <v>0</v>
      </c>
    </row>
    <row r="22" spans="1:5" ht="15.75" thickTop="1"/>
  </sheetData>
  <sheetProtection formatCells="0" formatColumns="0" formatRows="0" insertColumns="0" insertRows="0" insertHyperlinks="0" deleteColumns="0" deleteRows="0" sort="0" autoFilter="0" pivotTables="0"/>
  <protectedRanges>
    <protectedRange sqref="E9" name="Rango1_4"/>
    <protectedRange sqref="B10:D10 B13:D13 C11:D11" name="Rango1_9"/>
    <protectedRange sqref="B8" name="Rango1_5"/>
    <protectedRange sqref="C8 D9" name="Rango1_6"/>
  </protectedRanges>
  <autoFilter ref="B7:D17" xr:uid="{00000000-0009-0000-0000-000008000000}">
    <sortState xmlns:xlrd2="http://schemas.microsoft.com/office/spreadsheetml/2017/richdata2" ref="B8:D14">
      <sortCondition descending="1" ref="D7:D14"/>
    </sortState>
  </autoFilter>
  <sortState xmlns:xlrd2="http://schemas.microsoft.com/office/spreadsheetml/2017/richdata2" ref="A8:E12">
    <sortCondition descending="1" ref="D8:D12"/>
  </sortState>
  <pageMargins left="0.75" right="0.75" top="1" bottom="1" header="0" footer="0"/>
  <pageSetup orientation="portrait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6"/>
  <sheetViews>
    <sheetView zoomScale="80" zoomScaleNormal="80" workbookViewId="0">
      <selection activeCell="D8" sqref="A8:D13"/>
    </sheetView>
  </sheetViews>
  <sheetFormatPr baseColWidth="10" defaultColWidth="11.42578125" defaultRowHeight="15"/>
  <cols>
    <col min="2" max="2" width="83.85546875" customWidth="1"/>
    <col min="3" max="3" width="73.28515625" customWidth="1"/>
  </cols>
  <sheetData>
    <row r="1" spans="1:5">
      <c r="A1" s="4"/>
      <c r="B1" s="4"/>
      <c r="C1" s="4"/>
      <c r="D1" s="4"/>
      <c r="E1" s="4"/>
    </row>
    <row r="2" spans="1:5">
      <c r="A2" s="4"/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spans="1:5">
      <c r="A4" s="4"/>
      <c r="B4" s="4"/>
      <c r="C4" s="4"/>
      <c r="D4" s="4"/>
      <c r="E4" s="4"/>
    </row>
    <row r="5" spans="1:5">
      <c r="A5" s="4"/>
      <c r="B5" s="4"/>
      <c r="C5" s="4"/>
      <c r="D5" s="4"/>
      <c r="E5" s="4"/>
    </row>
    <row r="6" spans="1:5" ht="15.75" thickBot="1">
      <c r="A6" s="4"/>
      <c r="B6" s="4"/>
      <c r="C6" s="4"/>
      <c r="D6" s="4"/>
      <c r="E6" s="4"/>
    </row>
    <row r="7" spans="1:5" ht="48.75" thickTop="1" thickBot="1">
      <c r="A7" s="29" t="s">
        <v>26</v>
      </c>
      <c r="B7" s="30" t="s">
        <v>27</v>
      </c>
      <c r="C7" s="30" t="s">
        <v>28</v>
      </c>
      <c r="D7" s="30" t="s">
        <v>29</v>
      </c>
      <c r="E7" s="29" t="s">
        <v>30</v>
      </c>
    </row>
    <row r="8" spans="1:5" ht="15.75" thickTop="1">
      <c r="A8" s="61"/>
      <c r="B8" s="61"/>
      <c r="C8" s="61"/>
      <c r="D8" s="112"/>
      <c r="E8" s="122">
        <v>1</v>
      </c>
    </row>
    <row r="9" spans="1:5">
      <c r="A9" s="61"/>
      <c r="B9" s="71"/>
      <c r="C9" s="102"/>
      <c r="D9" s="109"/>
      <c r="E9" s="123">
        <v>1</v>
      </c>
    </row>
    <row r="10" spans="1:5">
      <c r="A10" s="61"/>
      <c r="B10" s="71"/>
      <c r="C10" s="79"/>
      <c r="D10" s="109"/>
      <c r="E10" s="124">
        <v>1</v>
      </c>
    </row>
    <row r="11" spans="1:5">
      <c r="A11" s="61"/>
      <c r="B11" s="71"/>
      <c r="C11" s="102"/>
      <c r="D11" s="109"/>
      <c r="E11" s="125">
        <v>1</v>
      </c>
    </row>
    <row r="12" spans="1:5">
      <c r="A12" s="61"/>
      <c r="B12" s="71"/>
      <c r="C12" s="71"/>
      <c r="D12" s="109"/>
      <c r="E12" s="126">
        <v>1</v>
      </c>
    </row>
    <row r="13" spans="1:5" ht="17.25" customHeight="1">
      <c r="A13" s="61"/>
      <c r="B13" s="79"/>
      <c r="C13" s="104"/>
      <c r="D13" s="113"/>
      <c r="E13" s="124">
        <v>1</v>
      </c>
    </row>
    <row r="14" spans="1:5" ht="17.25" customHeight="1">
      <c r="A14" s="61"/>
      <c r="B14" s="65"/>
      <c r="C14" s="65"/>
      <c r="D14" s="112"/>
      <c r="E14" s="82"/>
    </row>
    <row r="15" spans="1:5" ht="17.25" customHeight="1">
      <c r="A15" s="61"/>
      <c r="B15" s="65"/>
      <c r="C15" s="65"/>
      <c r="D15" s="112"/>
      <c r="E15" s="82"/>
    </row>
    <row r="16" spans="1:5">
      <c r="A16" s="61"/>
      <c r="B16" s="65"/>
      <c r="C16" s="78"/>
      <c r="D16" s="92"/>
      <c r="E16" s="61"/>
    </row>
    <row r="17" spans="1:5" ht="15.75" thickBot="1">
      <c r="A17" s="4"/>
      <c r="B17" s="4"/>
      <c r="C17" s="4"/>
      <c r="D17" s="4"/>
      <c r="E17" s="4"/>
    </row>
    <row r="18" spans="1:5" ht="18.75" thickTop="1" thickBot="1">
      <c r="A18" s="4"/>
      <c r="B18" s="6"/>
      <c r="C18" s="6"/>
      <c r="D18" s="7">
        <f>SUM(D8:D17)</f>
        <v>0</v>
      </c>
      <c r="E18" s="4"/>
    </row>
    <row r="19" spans="1:5" ht="15.75" thickTop="1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B21" s="4"/>
      <c r="C21" s="4"/>
      <c r="D21" s="4"/>
      <c r="E21" s="4"/>
    </row>
    <row r="22" spans="1:5">
      <c r="B22" s="4"/>
      <c r="C22" s="4"/>
      <c r="D22" s="4"/>
      <c r="E22" s="4"/>
    </row>
    <row r="23" spans="1:5">
      <c r="B23" s="33"/>
      <c r="C23" s="4"/>
      <c r="D23" s="4"/>
      <c r="E23" s="4"/>
    </row>
    <row r="24" spans="1:5">
      <c r="B24" s="4"/>
      <c r="C24" s="4"/>
      <c r="D24" s="4"/>
      <c r="E24" s="4"/>
    </row>
    <row r="25" spans="1:5">
      <c r="B25" s="4"/>
      <c r="C25" s="4"/>
      <c r="D25" s="4"/>
      <c r="E25" s="4"/>
    </row>
    <row r="26" spans="1:5">
      <c r="B26" s="4"/>
      <c r="C26" s="4"/>
      <c r="D26" s="4"/>
      <c r="E26" s="4"/>
    </row>
  </sheetData>
  <protectedRanges>
    <protectedRange sqref="B12:D12 C8" name="Rango1_5"/>
    <protectedRange sqref="D9:D11 B8:B11" name="Rango1_3"/>
  </protectedRanges>
  <sortState xmlns:xlrd2="http://schemas.microsoft.com/office/spreadsheetml/2017/richdata2" ref="A8:E13">
    <sortCondition descending="1" ref="D8:D13"/>
  </sortState>
  <pageMargins left="0.7" right="0.7" top="0.75" bottom="0.75" header="0.3" footer="0.3"/>
  <pageSetup orientation="portrait" horizontalDpi="300" verticalDpi="0" copies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6"/>
  <sheetViews>
    <sheetView zoomScale="80" zoomScaleNormal="80" workbookViewId="0">
      <selection activeCell="D8" sqref="A8:D9"/>
    </sheetView>
  </sheetViews>
  <sheetFormatPr baseColWidth="10" defaultColWidth="11.42578125" defaultRowHeight="15"/>
  <cols>
    <col min="2" max="2" width="83.85546875" customWidth="1"/>
    <col min="3" max="3" width="91.85546875" customWidth="1"/>
  </cols>
  <sheetData>
    <row r="1" spans="1:5">
      <c r="A1" s="4"/>
      <c r="B1" s="4"/>
      <c r="C1" s="4"/>
      <c r="D1" s="4"/>
      <c r="E1" s="4"/>
    </row>
    <row r="2" spans="1:5">
      <c r="A2" s="4"/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spans="1:5">
      <c r="A4" s="4"/>
      <c r="B4" s="4"/>
      <c r="C4" s="4"/>
      <c r="D4" s="4"/>
      <c r="E4" s="4"/>
    </row>
    <row r="5" spans="1:5">
      <c r="A5" s="4"/>
      <c r="B5" s="4"/>
      <c r="C5" s="4"/>
      <c r="D5" s="4"/>
      <c r="E5" s="4"/>
    </row>
    <row r="6" spans="1:5" ht="15.75" thickBot="1">
      <c r="A6" s="4"/>
      <c r="B6" s="4"/>
      <c r="C6" s="4"/>
      <c r="D6" s="4"/>
      <c r="E6" s="4"/>
    </row>
    <row r="7" spans="1:5" ht="48.75" thickTop="1" thickBot="1">
      <c r="A7" s="29" t="s">
        <v>26</v>
      </c>
      <c r="B7" s="30" t="s">
        <v>27</v>
      </c>
      <c r="C7" s="30" t="s">
        <v>28</v>
      </c>
      <c r="D7" s="30" t="s">
        <v>29</v>
      </c>
      <c r="E7" s="29" t="s">
        <v>30</v>
      </c>
    </row>
    <row r="8" spans="1:5" ht="15.75" thickTop="1">
      <c r="A8" s="61"/>
      <c r="B8" s="61"/>
      <c r="C8" s="103"/>
      <c r="D8" s="117"/>
      <c r="E8" s="116">
        <v>2</v>
      </c>
    </row>
    <row r="9" spans="1:5">
      <c r="A9" s="83"/>
      <c r="B9" s="65"/>
      <c r="C9" s="65"/>
      <c r="D9" s="118"/>
      <c r="E9" s="116">
        <v>1</v>
      </c>
    </row>
    <row r="10" spans="1:5">
      <c r="A10" s="83"/>
      <c r="B10" s="79"/>
      <c r="C10" s="61"/>
      <c r="D10" s="100"/>
      <c r="E10" s="83"/>
    </row>
    <row r="11" spans="1:5">
      <c r="A11" s="83"/>
      <c r="B11" s="71"/>
      <c r="C11" s="71"/>
      <c r="D11" s="99"/>
      <c r="E11" s="83"/>
    </row>
    <row r="12" spans="1:5">
      <c r="A12" s="83"/>
      <c r="B12" s="71"/>
      <c r="C12" s="71"/>
      <c r="D12" s="99"/>
      <c r="E12" s="83"/>
    </row>
    <row r="13" spans="1:5">
      <c r="A13" s="83"/>
      <c r="B13" s="61"/>
      <c r="C13" s="61"/>
      <c r="D13" s="101"/>
      <c r="E13" s="83"/>
    </row>
    <row r="14" spans="1:5">
      <c r="A14" s="83"/>
      <c r="B14" s="61"/>
      <c r="C14" s="61"/>
      <c r="D14" s="101"/>
      <c r="E14" s="83"/>
    </row>
    <row r="15" spans="1:5">
      <c r="A15" s="83"/>
      <c r="B15" s="61"/>
      <c r="C15" s="61"/>
      <c r="D15" s="101"/>
      <c r="E15" s="83"/>
    </row>
    <row r="16" spans="1:5">
      <c r="A16" s="83"/>
      <c r="B16" s="61"/>
      <c r="C16" s="61"/>
      <c r="D16" s="101"/>
      <c r="E16" s="83"/>
    </row>
    <row r="17" spans="1:5" ht="15.75" thickBot="1">
      <c r="A17" s="4"/>
      <c r="B17" s="4"/>
      <c r="C17" s="4"/>
      <c r="D17" s="4"/>
      <c r="E17" s="4"/>
    </row>
    <row r="18" spans="1:5" ht="18.75" thickTop="1" thickBot="1">
      <c r="A18" s="4"/>
      <c r="B18" s="6"/>
      <c r="C18" s="6"/>
      <c r="D18" s="7">
        <f>SUM(D8:D16)</f>
        <v>0</v>
      </c>
      <c r="E18" s="4"/>
    </row>
    <row r="19" spans="1:5" ht="15.75" thickTop="1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B23" s="33"/>
      <c r="C23" s="4"/>
      <c r="D23" s="4"/>
      <c r="E23" s="4"/>
    </row>
    <row r="24" spans="1:5">
      <c r="B24" s="4"/>
      <c r="C24" s="4"/>
      <c r="D24" s="4"/>
      <c r="E24" s="4"/>
    </row>
    <row r="25" spans="1:5">
      <c r="B25" s="4"/>
      <c r="C25" s="4"/>
      <c r="D25" s="4"/>
      <c r="E25" s="4"/>
    </row>
    <row r="26" spans="1:5">
      <c r="B26" s="4"/>
      <c r="C26" s="4"/>
      <c r="D26" s="4"/>
      <c r="E26" s="4"/>
    </row>
  </sheetData>
  <protectedRanges>
    <protectedRange sqref="B8" name="Rango1"/>
    <protectedRange sqref="B11 D11 C8" name="Rango1_2"/>
    <protectedRange sqref="D14:D15" name="Rango1_4"/>
  </protectedRanges>
  <sortState xmlns:xlrd2="http://schemas.microsoft.com/office/spreadsheetml/2017/richdata2" ref="A8:E12">
    <sortCondition descending="1" ref="D8:D12"/>
  </sortState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"/>
  <sheetViews>
    <sheetView topLeftCell="A4" zoomScale="80" zoomScaleNormal="80" workbookViewId="0">
      <selection activeCell="D8" sqref="B8:D8"/>
    </sheetView>
  </sheetViews>
  <sheetFormatPr baseColWidth="10" defaultColWidth="11.42578125" defaultRowHeight="15"/>
  <cols>
    <col min="2" max="2" width="83.85546875" customWidth="1"/>
    <col min="3" max="3" width="91.85546875" customWidth="1"/>
  </cols>
  <sheetData>
    <row r="1" spans="1:5">
      <c r="A1" s="4"/>
      <c r="B1" s="4"/>
      <c r="C1" s="4"/>
      <c r="D1" s="4"/>
      <c r="E1" s="4"/>
    </row>
    <row r="2" spans="1:5">
      <c r="A2" s="4"/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spans="1:5">
      <c r="A4" s="4"/>
      <c r="B4" s="4"/>
      <c r="C4" s="4"/>
      <c r="D4" s="4"/>
      <c r="E4" s="4"/>
    </row>
    <row r="5" spans="1:5">
      <c r="A5" s="4"/>
      <c r="B5" s="4"/>
      <c r="C5" s="4"/>
      <c r="D5" s="4"/>
      <c r="E5" s="4"/>
    </row>
    <row r="6" spans="1:5" ht="15.75" thickBot="1">
      <c r="A6" s="4"/>
      <c r="B6" s="4"/>
      <c r="C6" s="4"/>
      <c r="D6" s="4"/>
      <c r="E6" s="4"/>
    </row>
    <row r="7" spans="1:5" ht="48.75" thickTop="1" thickBot="1">
      <c r="A7" s="29" t="s">
        <v>26</v>
      </c>
      <c r="B7" s="30" t="s">
        <v>27</v>
      </c>
      <c r="C7" s="30" t="s">
        <v>28</v>
      </c>
      <c r="D7" s="30" t="s">
        <v>29</v>
      </c>
      <c r="E7" s="29" t="s">
        <v>30</v>
      </c>
    </row>
    <row r="8" spans="1:5" ht="15.75" thickTop="1">
      <c r="A8" s="62"/>
      <c r="B8" s="71"/>
      <c r="C8" s="71"/>
      <c r="D8" s="109"/>
      <c r="E8" s="116">
        <v>1</v>
      </c>
    </row>
    <row r="9" spans="1:5">
      <c r="A9" s="62"/>
      <c r="B9" s="71"/>
      <c r="C9" s="71"/>
      <c r="D9" s="71"/>
      <c r="E9" s="83"/>
    </row>
    <row r="10" spans="1:5">
      <c r="A10" s="62"/>
      <c r="B10" s="71"/>
      <c r="C10" s="71"/>
      <c r="D10" s="71"/>
      <c r="E10" s="83"/>
    </row>
    <row r="11" spans="1:5">
      <c r="A11" s="62"/>
      <c r="B11" s="71"/>
      <c r="C11" s="71"/>
      <c r="D11" s="71"/>
      <c r="E11" s="83"/>
    </row>
    <row r="12" spans="1:5">
      <c r="A12" s="62"/>
      <c r="B12" s="71"/>
      <c r="C12" s="71"/>
      <c r="D12" s="71"/>
      <c r="E12" s="83"/>
    </row>
    <row r="13" spans="1:5">
      <c r="A13" s="62"/>
      <c r="B13" s="71"/>
      <c r="C13" s="71"/>
      <c r="D13" s="71"/>
      <c r="E13" s="83"/>
    </row>
    <row r="14" spans="1:5">
      <c r="A14" s="62"/>
      <c r="B14" s="71"/>
      <c r="C14" s="71"/>
      <c r="D14" s="71"/>
      <c r="E14" s="83"/>
    </row>
    <row r="15" spans="1:5">
      <c r="A15" s="62"/>
      <c r="B15" s="71"/>
      <c r="C15" s="71"/>
      <c r="D15" s="71"/>
      <c r="E15" s="83"/>
    </row>
    <row r="16" spans="1:5" ht="15.75" thickBot="1">
      <c r="A16" s="4"/>
      <c r="B16" s="4"/>
      <c r="C16" s="4"/>
      <c r="D16" s="4"/>
      <c r="E16" s="4"/>
    </row>
    <row r="17" spans="1:5" ht="18.75" thickTop="1" thickBot="1">
      <c r="A17" s="4"/>
      <c r="B17" s="6"/>
      <c r="C17" s="6"/>
      <c r="D17" s="7">
        <f>SUM(D8:D15)</f>
        <v>0</v>
      </c>
      <c r="E17" s="4"/>
    </row>
    <row r="18" spans="1:5" ht="15.75" thickTop="1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B22" s="33"/>
      <c r="C22" s="4"/>
      <c r="D22" s="4"/>
      <c r="E22" s="4"/>
    </row>
    <row r="23" spans="1:5">
      <c r="B23" s="4"/>
      <c r="C23" s="4"/>
      <c r="D23" s="4"/>
      <c r="E23" s="4"/>
    </row>
    <row r="24" spans="1:5">
      <c r="B24" s="4"/>
      <c r="C24" s="4"/>
      <c r="D24" s="4"/>
      <c r="E24" s="4"/>
    </row>
    <row r="25" spans="1:5">
      <c r="B25" s="4"/>
      <c r="C25" s="4"/>
      <c r="D25" s="4"/>
      <c r="E25" s="4"/>
    </row>
  </sheetData>
  <protectedRanges>
    <protectedRange sqref="B8" name="Rango1"/>
    <protectedRange sqref="B13:D13 B10:D10 C9" name="Rango1_2"/>
    <protectedRange sqref="B14:D14 B11:D11" name="Rango1_4"/>
  </protectedRanges>
  <sortState xmlns:xlrd2="http://schemas.microsoft.com/office/spreadsheetml/2017/richdata2" ref="A8:E9">
    <sortCondition descending="1" ref="D8:D9"/>
  </sortState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6:G18"/>
  <sheetViews>
    <sheetView zoomScale="80" zoomScaleNormal="80" workbookViewId="0">
      <selection activeCell="E10" sqref="E10"/>
    </sheetView>
  </sheetViews>
  <sheetFormatPr baseColWidth="10" defaultColWidth="11.42578125" defaultRowHeight="15"/>
  <cols>
    <col min="1" max="1" width="13.42578125" style="4" customWidth="1"/>
    <col min="2" max="2" width="61.7109375" style="4" customWidth="1"/>
    <col min="3" max="3" width="70.7109375" style="4" customWidth="1"/>
    <col min="4" max="4" width="22.42578125" style="4" customWidth="1"/>
    <col min="5" max="16384" width="11.42578125" style="4"/>
  </cols>
  <sheetData>
    <row r="6" spans="1:7" ht="15.75" thickBot="1"/>
    <row r="7" spans="1:7" ht="33" thickTop="1" thickBot="1">
      <c r="A7" s="29" t="s">
        <v>26</v>
      </c>
      <c r="B7" s="30" t="s">
        <v>27</v>
      </c>
      <c r="C7" s="30" t="s">
        <v>28</v>
      </c>
      <c r="D7" s="30" t="s">
        <v>29</v>
      </c>
      <c r="E7" s="29" t="s">
        <v>30</v>
      </c>
    </row>
    <row r="8" spans="1:7" ht="15.75" thickTop="1">
      <c r="A8" s="61"/>
      <c r="B8" s="64"/>
      <c r="C8" s="64"/>
      <c r="D8" s="65"/>
      <c r="E8" s="61"/>
    </row>
    <row r="9" spans="1:7">
      <c r="A9" s="82"/>
      <c r="B9" s="64"/>
      <c r="C9" s="64"/>
      <c r="D9" s="65"/>
      <c r="E9" s="77"/>
      <c r="F9"/>
      <c r="G9"/>
    </row>
    <row r="10" spans="1:7">
      <c r="A10" s="84"/>
      <c r="B10" s="64"/>
      <c r="C10" s="64"/>
      <c r="D10" s="65"/>
      <c r="E10" s="82"/>
    </row>
    <row r="11" spans="1:7">
      <c r="A11" s="84"/>
      <c r="B11" s="77"/>
      <c r="C11" s="77"/>
      <c r="D11" s="80"/>
      <c r="E11" s="83"/>
    </row>
    <row r="12" spans="1:7">
      <c r="A12" s="70"/>
      <c r="B12" s="64"/>
      <c r="C12" s="64"/>
      <c r="D12" s="81"/>
      <c r="E12" s="85"/>
    </row>
    <row r="13" spans="1:7" ht="16.5" thickBot="1">
      <c r="B13" s="34"/>
      <c r="C13" s="34"/>
      <c r="D13" s="35"/>
    </row>
    <row r="14" spans="1:7" ht="18.75" thickTop="1" thickBot="1">
      <c r="B14" s="6"/>
      <c r="C14" s="6"/>
      <c r="D14" s="7">
        <f>SUM(D8:D13)</f>
        <v>0</v>
      </c>
    </row>
    <row r="15" spans="1:7" ht="15.75" thickTop="1"/>
    <row r="18" spans="2:2">
      <c r="B18" s="33"/>
    </row>
  </sheetData>
  <sheetProtection selectLockedCells="1" selectUnlockedCells="1"/>
  <autoFilter ref="B7:D12" xr:uid="{00000000-0009-0000-0000-00000C000000}">
    <sortState xmlns:xlrd2="http://schemas.microsoft.com/office/spreadsheetml/2017/richdata2" ref="B8:D16">
      <sortCondition descending="1" ref="D7:D16"/>
    </sortState>
  </autoFilter>
  <sortState xmlns:xlrd2="http://schemas.microsoft.com/office/spreadsheetml/2017/richdata2" ref="A8:E9">
    <sortCondition descending="1" ref="D8:D9"/>
  </sortState>
  <pageMargins left="0.75" right="0.75" top="1" bottom="1" header="0" footer="0"/>
  <pageSetup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6:E21"/>
  <sheetViews>
    <sheetView zoomScale="80" zoomScaleNormal="80" workbookViewId="0">
      <selection activeCell="D11" sqref="D11"/>
    </sheetView>
  </sheetViews>
  <sheetFormatPr baseColWidth="10" defaultColWidth="11.42578125" defaultRowHeight="15"/>
  <cols>
    <col min="1" max="1" width="13.42578125" style="4" customWidth="1"/>
    <col min="2" max="2" width="61.7109375" style="4" customWidth="1"/>
    <col min="3" max="3" width="70.140625" style="4" customWidth="1"/>
    <col min="4" max="4" width="22.42578125" style="4" customWidth="1"/>
    <col min="5" max="16384" width="11.42578125" style="4"/>
  </cols>
  <sheetData>
    <row r="6" spans="1:5" ht="15.75" thickBot="1"/>
    <row r="7" spans="1:5" ht="33" thickTop="1" thickBot="1">
      <c r="A7" s="29" t="s">
        <v>26</v>
      </c>
      <c r="B7" s="30" t="s">
        <v>27</v>
      </c>
      <c r="C7" s="30" t="s">
        <v>28</v>
      </c>
      <c r="D7" s="30" t="s">
        <v>29</v>
      </c>
      <c r="E7" s="29" t="s">
        <v>30</v>
      </c>
    </row>
    <row r="8" spans="1:5" ht="15.75" thickTop="1">
      <c r="A8" s="83"/>
      <c r="B8" s="71"/>
      <c r="C8" s="64"/>
      <c r="D8" s="72"/>
      <c r="E8" s="83"/>
    </row>
    <row r="9" spans="1:5">
      <c r="A9" s="83"/>
      <c r="B9" s="64"/>
      <c r="C9" s="64"/>
      <c r="D9" s="65"/>
      <c r="E9" s="83"/>
    </row>
    <row r="10" spans="1:5">
      <c r="A10" s="63"/>
      <c r="B10" s="64"/>
      <c r="C10" s="64"/>
      <c r="D10" s="65"/>
      <c r="E10" s="63"/>
    </row>
    <row r="11" spans="1:5">
      <c r="A11" s="63"/>
      <c r="B11" s="65"/>
      <c r="C11" s="65"/>
      <c r="D11" s="77"/>
      <c r="E11" s="86"/>
    </row>
    <row r="12" spans="1:5">
      <c r="A12" s="87"/>
      <c r="B12" s="65"/>
      <c r="C12" s="64"/>
      <c r="D12" s="80"/>
      <c r="E12" s="62"/>
    </row>
    <row r="13" spans="1:5">
      <c r="A13" s="70"/>
      <c r="B13" s="65"/>
      <c r="C13" s="65"/>
      <c r="D13" s="77"/>
      <c r="E13" s="70"/>
    </row>
    <row r="14" spans="1:5" ht="15.75" hidden="1">
      <c r="A14" s="27"/>
      <c r="B14" s="2"/>
      <c r="C14" s="3"/>
      <c r="D14" s="27"/>
      <c r="E14" s="27"/>
    </row>
    <row r="15" spans="1:5" ht="15.75" thickBot="1"/>
    <row r="16" spans="1:5" ht="18.75" thickTop="1" thickBot="1">
      <c r="B16" s="6"/>
      <c r="C16" s="6"/>
      <c r="D16" s="7">
        <f>SUM(D8:D15)</f>
        <v>0</v>
      </c>
    </row>
    <row r="17" spans="2:2" ht="15.75" thickTop="1"/>
    <row r="21" spans="2:2">
      <c r="B21" s="33"/>
    </row>
  </sheetData>
  <sheetProtection selectLockedCells="1" selectUnlockedCells="1"/>
  <protectedRanges>
    <protectedRange sqref="B8 D8" name="Rango1_1"/>
  </protectedRanges>
  <autoFilter ref="B7:D13" xr:uid="{00000000-0009-0000-0000-00000D000000}">
    <sortState xmlns:xlrd2="http://schemas.microsoft.com/office/spreadsheetml/2017/richdata2" ref="B8:D13">
      <sortCondition descending="1" ref="D7:D13"/>
    </sortState>
  </autoFilter>
  <sortState xmlns:xlrd2="http://schemas.microsoft.com/office/spreadsheetml/2017/richdata2" ref="A8:E9">
    <sortCondition descending="1" ref="D8:D9"/>
  </sortState>
  <pageMargins left="0.75" right="0.75" top="1" bottom="1" header="0" footer="0"/>
  <pageSetup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TPIBPHG11</vt:lpstr>
      <vt:lpstr>tiempos Perdidos TP IBERPLAST</vt:lpstr>
      <vt:lpstr>tiempos Mtto Prev TP</vt:lpstr>
      <vt:lpstr>tiempos Cambios TP</vt:lpstr>
      <vt:lpstr>Trabajos Realizados CCM1</vt:lpstr>
      <vt:lpstr>Trabajos Realizados CCM2</vt:lpstr>
      <vt:lpstr>Trabajos Realizados CCM3</vt:lpstr>
      <vt:lpstr>Trabajos Realizados CCM64-1</vt:lpstr>
      <vt:lpstr>Trabajos Realizados CCM64-2</vt:lpstr>
      <vt:lpstr>Trabajos Realizados CCM 06</vt:lpstr>
      <vt:lpstr>Trabajos Realizados CCM 07</vt:lpstr>
      <vt:lpstr>Trabajos Realizados CCM 08</vt:lpstr>
      <vt:lpstr>Trabajos Realizados PMV 02</vt:lpstr>
      <vt:lpstr>Trabajos Realizados PMV 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pmjjimenez</dc:creator>
  <cp:keywords/>
  <dc:description/>
  <cp:lastModifiedBy>Diego</cp:lastModifiedBy>
  <cp:revision/>
  <dcterms:created xsi:type="dcterms:W3CDTF">2009-10-24T20:21:55Z</dcterms:created>
  <dcterms:modified xsi:type="dcterms:W3CDTF">2026-08-09T15:37:30Z</dcterms:modified>
  <cp:category/>
  <cp:contentStatus/>
</cp:coreProperties>
</file>