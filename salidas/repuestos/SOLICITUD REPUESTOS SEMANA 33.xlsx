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Diego\Downloads\"/>
    </mc:Choice>
  </mc:AlternateContent>
  <xr:revisionPtr revIDLastSave="0" documentId="13_ncr:1_{559E98BA-5492-40FE-942F-7F84116802F3}" xr6:coauthVersionLast="46" xr6:coauthVersionMax="46" xr10:uidLastSave="{00000000-0000-0000-0000-000000000000}"/>
  <bookViews>
    <workbookView xWindow="-120" yWindow="-120" windowWidth="20730" windowHeight="11040" xr2:uid="{00000000-000D-0000-FFFF-FFFF00000000}"/>
  </bookViews>
  <sheets>
    <sheet name="Sección A" sheetId="1" r:id="rId1"/>
    <sheet name="Hoja1" sheetId="2" state="hidden" r:id="rId2"/>
  </sheets>
  <definedNames>
    <definedName name="_xlnm._FilterDatabase" localSheetId="0" hidden="1">'Sección A'!$A$10:$XEP$10</definedName>
    <definedName name="_xlnm.Print_Area" localSheetId="0">'Sección A'!$A$1:$N$10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1" i="1" l="1"/>
  <c r="H21" i="1" l="1"/>
  <c r="K21" i="1"/>
  <c r="M21" i="1"/>
  <c r="H18" i="1" l="1"/>
  <c r="K18" i="1"/>
  <c r="M18" i="1"/>
  <c r="H19" i="1"/>
  <c r="K19" i="1"/>
  <c r="M19" i="1"/>
  <c r="K11" i="1" l="1"/>
  <c r="K12" i="1"/>
  <c r="K13" i="1"/>
  <c r="M20" i="1"/>
  <c r="K20" i="1"/>
  <c r="H20" i="1"/>
  <c r="H11" i="1"/>
  <c r="H12" i="1"/>
  <c r="H13" i="1"/>
  <c r="H14" i="1"/>
  <c r="K14" i="1"/>
  <c r="M14" i="1"/>
  <c r="H15" i="1"/>
  <c r="K15" i="1"/>
  <c r="M15" i="1"/>
  <c r="H16" i="1"/>
  <c r="K16" i="1"/>
  <c r="M16" i="1"/>
  <c r="H17" i="1"/>
  <c r="K17" i="1"/>
  <c r="M17" i="1"/>
  <c r="M12" i="1"/>
  <c r="M13" i="1"/>
</calcChain>
</file>

<file path=xl/metadata.xml><?xml version="1.0" encoding="utf-8"?>
<metadata xmlns="http://schemas.openxmlformats.org/spreadsheetml/2006/main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xmlns:xlrd="http://schemas.microsoft.com/office/spreadsheetml/2017/richdata"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<sst xmlns="http://schemas.openxmlformats.org/spreadsheetml/2006/main" count="48" uniqueCount="48">
  <si>
    <t>FORMATO DE APROBACIÓN Y LEGALIZACIÓN PRESUPUESTAL</t>
  </si>
  <si>
    <t>Fecha:</t>
  </si>
  <si>
    <t>Área:</t>
  </si>
  <si>
    <t>MANTENIMIENTO</t>
  </si>
  <si>
    <t>Aprobaciones</t>
  </si>
  <si>
    <t>INVENTARIO</t>
  </si>
  <si>
    <t>PEDIDO</t>
  </si>
  <si>
    <t>AREA</t>
  </si>
  <si>
    <t>COD SAP</t>
  </si>
  <si>
    <t>PRODUCTO O SERVICIO</t>
  </si>
  <si>
    <t>ORIGEN</t>
  </si>
  <si>
    <t>UM</t>
  </si>
  <si>
    <t>CANT</t>
  </si>
  <si>
    <t>Consumo
/ Mes</t>
  </si>
  <si>
    <t>Duracion
/ Mes</t>
  </si>
  <si>
    <t>T.  entrega
 Meses</t>
  </si>
  <si>
    <t>CANT2</t>
  </si>
  <si>
    <t>Duracion Total (Inv +Pedc)
/ Mes</t>
  </si>
  <si>
    <t>VALOR UND</t>
  </si>
  <si>
    <t>VALOR ESTIMADO</t>
  </si>
  <si>
    <t>OBSERVACIONES</t>
  </si>
  <si>
    <t>PS MALAMBO</t>
  </si>
  <si>
    <t>NAL</t>
  </si>
  <si>
    <t>ST</t>
  </si>
  <si>
    <t xml:space="preserve">SOLICITANTE </t>
  </si>
  <si>
    <t>UNIDA</t>
  </si>
  <si>
    <t>MP PREFORMA</t>
  </si>
  <si>
    <t>Kg</t>
  </si>
  <si>
    <t>IMP</t>
  </si>
  <si>
    <t>MP TAPA PLASTICA</t>
  </si>
  <si>
    <t>Pza</t>
  </si>
  <si>
    <t>MP METALICA</t>
  </si>
  <si>
    <t>Lt</t>
  </si>
  <si>
    <t>MP RECUPERADO</t>
  </si>
  <si>
    <t>MP CAJAS</t>
  </si>
  <si>
    <t>Mt</t>
  </si>
  <si>
    <t>MP SOPLADO IP</t>
  </si>
  <si>
    <t>Gal</t>
  </si>
  <si>
    <t>MP REFRIGERACION</t>
  </si>
  <si>
    <t>Fab</t>
  </si>
  <si>
    <t>MP MONTACARGAS</t>
  </si>
  <si>
    <t>AUXILIARES</t>
  </si>
  <si>
    <t>PS LUX</t>
  </si>
  <si>
    <t>PS BELLO</t>
  </si>
  <si>
    <t>PS PIE DE CUESTA</t>
  </si>
  <si>
    <t>PS GASCOL SUR</t>
  </si>
  <si>
    <t>PS YUMBO</t>
  </si>
  <si>
    <t>PS CALOTO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</si>
</sst>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\ #,##0;\-&quot;$&quot;\ #,##0"/>
    <numFmt numFmtId="42" formatCode="_-&quot;$&quot;\ * #,##0_-;\-&quot;$&quot;\ * #,##0_-;_-&quot;$&quot;\ * &quot;-&quot;_-;_-@_-"/>
    <numFmt numFmtId="41" formatCode="_-* #,##0_-;\-* #,##0_-;_-* &quot;-&quot;_-;_-@_-"/>
    <numFmt numFmtId="44" formatCode="_-&quot;$&quot;\ * #,##0.00_-;\-&quot;$&quot;\ * #,##0.00_-;_-&quot;$&quot;\ * &quot;-&quot;??_-;_-@_-"/>
    <numFmt numFmtId="164" formatCode="0.0"/>
    <numFmt numFmtId="165" formatCode="_-&quot;$ &quot;* #,##0_-;&quot;-$ &quot;* #,##0_-;_-&quot;$ &quot;* \-_-;_-@_-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indexed="8"/>
      <name val="Aptos Narrow"/>
      <family val="2"/>
      <charset val="1"/>
    </font>
    <font>
      <sz val="12"/>
      <name val="Aptos Narrow"/>
      <scheme val="minor"/>
    </font>
    <font>
      <sz val="12"/>
      <color theme="1"/>
      <name val="Aptos Narrow"/>
      <scheme val="minor"/>
    </font>
    <font>
      <b/>
      <sz val="12"/>
      <name val="Aptos Narrow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theme="4" tint="-0.499984740745262"/>
      </left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/>
      <right/>
      <top/>
      <bottom style="thin">
        <color indexed="64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ck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thick">
        <color theme="1"/>
      </right>
      <top style="medium">
        <color theme="1"/>
      </top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medium">
        <color theme="4" tint="0.39997558519241921"/>
      </left>
      <right/>
      <top style="medium">
        <color theme="8"/>
      </top>
      <bottom/>
      <diagonal/>
    </border>
    <border>
      <left style="thick">
        <color theme="1"/>
      </left>
      <right/>
      <top style="medium">
        <color theme="8"/>
      </top>
      <bottom style="thin">
        <color theme="3" tint="0.79998168889431442"/>
      </bottom>
      <diagonal/>
    </border>
    <border>
      <left style="thin">
        <color theme="0"/>
      </left>
      <right style="medium">
        <color theme="4" tint="0.39997558519241921"/>
      </right>
      <top style="medium">
        <color theme="8"/>
      </top>
      <bottom style="thin">
        <color theme="3" tint="0.79998168889431442"/>
      </bottom>
      <diagonal/>
    </border>
    <border>
      <left/>
      <right style="thick">
        <color theme="1"/>
      </right>
      <top style="medium">
        <color theme="8"/>
      </top>
      <bottom style="thin">
        <color theme="3" tint="0.79998168889431442"/>
      </bottom>
      <diagonal/>
    </border>
    <border>
      <left/>
      <right/>
      <top style="medium">
        <color theme="8"/>
      </top>
      <bottom/>
      <diagonal/>
    </border>
    <border>
      <left style="thick">
        <color indexed="64"/>
      </left>
      <right/>
      <top style="medium">
        <color theme="8"/>
      </top>
      <bottom/>
      <diagonal/>
    </border>
    <border>
      <left style="medium">
        <color theme="4" tint="0.39997558519241921"/>
      </left>
      <right style="medium">
        <color theme="4" tint="0.39997558519241921"/>
      </right>
      <top style="medium">
        <color theme="8"/>
      </top>
      <bottom/>
      <diagonal/>
    </border>
    <border>
      <left style="medium">
        <color theme="4" tint="0.39997558519241921"/>
      </left>
      <right style="thick">
        <color indexed="64"/>
      </right>
      <top style="medium">
        <color theme="8"/>
      </top>
      <bottom/>
      <diagonal/>
    </border>
    <border>
      <left/>
      <right style="thin">
        <color theme="4" tint="0.79998168889431442"/>
      </right>
      <top style="medium">
        <color theme="8"/>
      </top>
      <bottom/>
      <diagonal/>
    </border>
    <border>
      <left/>
      <right style="thin">
        <color theme="3" tint="0.79998168889431442"/>
      </right>
      <top style="thin">
        <color theme="3" tint="0.79998168889431442"/>
      </top>
      <bottom/>
      <diagonal/>
    </border>
    <border>
      <left style="thin">
        <color theme="3" tint="0.79998168889431442"/>
      </left>
      <right style="thin">
        <color theme="3" tint="0.79998168889431442"/>
      </right>
      <top style="thin">
        <color theme="3" tint="0.79998168889431442"/>
      </top>
      <bottom style="thin">
        <color theme="3" tint="0.79998168889431442"/>
      </bottom>
      <diagonal/>
    </border>
    <border>
      <left style="thin">
        <color theme="3" tint="0.79998168889431442"/>
      </left>
      <right/>
      <top style="thin">
        <color theme="3" tint="0.79998168889431442"/>
      </top>
      <bottom style="thin">
        <color theme="3" tint="0.79998168889431442"/>
      </bottom>
      <diagonal/>
    </border>
    <border>
      <left/>
      <right style="thin">
        <color theme="3" tint="0.79998168889431442"/>
      </right>
      <top style="thin">
        <color theme="3" tint="0.79998168889431442"/>
      </top>
      <bottom style="thin">
        <color theme="3" tint="0.79998168889431442"/>
      </bottom>
      <diagonal/>
    </border>
    <border>
      <left style="thin">
        <color theme="3" tint="0.79998168889431442"/>
      </left>
      <right style="thin">
        <color theme="3" tint="0.79998168889431442"/>
      </right>
      <top style="thin">
        <color theme="3" tint="0.79998168889431442"/>
      </top>
      <bottom/>
      <diagonal/>
    </border>
    <border>
      <left style="thin">
        <color theme="3" tint="0.79998168889431442"/>
      </left>
      <right/>
      <top style="thin">
        <color theme="3" tint="0.7999816888943144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theme="3" tint="0.79995117038483843"/>
      </left>
      <right style="thick">
        <color theme="3" tint="0.79995117038483843"/>
      </right>
      <top style="thin">
        <color theme="3" tint="0.79998168889431442"/>
      </top>
      <bottom/>
      <diagonal/>
    </border>
    <border>
      <left style="thick">
        <color theme="3" tint="0.79995117038483843"/>
      </left>
      <right style="thick">
        <color theme="3" tint="0.79995117038483843"/>
      </right>
      <top style="thin">
        <color theme="3" tint="0.79998168889431442"/>
      </top>
      <bottom style="thin">
        <color theme="3" tint="0.79998168889431442"/>
      </bottom>
      <diagonal/>
    </border>
    <border>
      <left style="thick">
        <color theme="3" tint="0.749961851863155"/>
      </left>
      <right style="thin">
        <color theme="3" tint="0.79998168889431442"/>
      </right>
      <top style="thin">
        <color theme="3" tint="0.79998168889431442"/>
      </top>
      <bottom style="thin">
        <color theme="3" tint="0.79998168889431442"/>
      </bottom>
      <diagonal/>
    </border>
    <border>
      <left style="thin">
        <color theme="3" tint="0.79998168889431442"/>
      </left>
      <right style="thick">
        <color theme="3" tint="0.79995117038483843"/>
      </right>
      <top style="thin">
        <color theme="3" tint="0.79998168889431442"/>
      </top>
      <bottom style="thin">
        <color theme="3" tint="0.79998168889431442"/>
      </bottom>
      <diagonal/>
    </border>
    <border>
      <left style="thick">
        <color theme="3" tint="0.79995117038483843"/>
      </left>
      <right style="thick">
        <color theme="3" tint="0.79992065187536243"/>
      </right>
      <top style="thin">
        <color theme="3" tint="0.79998168889431442"/>
      </top>
      <bottom style="thin">
        <color theme="3" tint="0.79998168889431442"/>
      </bottom>
      <diagonal/>
    </border>
    <border>
      <left style="thin">
        <color theme="3" tint="0.79995117038483843"/>
      </left>
      <right style="thin">
        <color theme="3" tint="0.79998168889431442"/>
      </right>
      <top style="thin">
        <color theme="3" tint="0.79998168889431442"/>
      </top>
      <bottom style="thin">
        <color theme="3" tint="0.79995117038483843"/>
      </bottom>
      <diagonal/>
    </border>
    <border>
      <left style="thin">
        <color theme="3" tint="0.79998168889431442"/>
      </left>
      <right style="thin">
        <color theme="3" tint="0.79998168889431442"/>
      </right>
      <top style="thin">
        <color theme="3" tint="0.79998168889431442"/>
      </top>
      <bottom style="thin">
        <color theme="3" tint="0.79995117038483843"/>
      </bottom>
      <diagonal/>
    </border>
    <border>
      <left style="thin">
        <color theme="3" tint="0.79998168889431442"/>
      </left>
      <right/>
      <top style="thin">
        <color theme="3" tint="0.79998168889431442"/>
      </top>
      <bottom style="thin">
        <color theme="3" tint="0.79995117038483843"/>
      </bottom>
      <diagonal/>
    </border>
    <border>
      <left style="thick">
        <color theme="3" tint="0.749961851863155"/>
      </left>
      <right style="thin">
        <color theme="3" tint="0.79998168889431442"/>
      </right>
      <top style="thin">
        <color theme="3" tint="0.79998168889431442"/>
      </top>
      <bottom style="thin">
        <color theme="3" tint="0.79995117038483843"/>
      </bottom>
      <diagonal/>
    </border>
    <border>
      <left style="thin">
        <color theme="3" tint="0.79998168889431442"/>
      </left>
      <right style="thick">
        <color theme="3" tint="0.79995117038483843"/>
      </right>
      <top style="thin">
        <color theme="3" tint="0.79998168889431442"/>
      </top>
      <bottom style="thin">
        <color theme="3" tint="0.79995117038483843"/>
      </bottom>
      <diagonal/>
    </border>
    <border>
      <left style="thick">
        <color theme="3" tint="0.79995117038483843"/>
      </left>
      <right style="thick">
        <color theme="3" tint="0.79995117038483843"/>
      </right>
      <top style="thin">
        <color theme="3" tint="0.79998168889431442"/>
      </top>
      <bottom style="thin">
        <color theme="3" tint="0.79995117038483843"/>
      </bottom>
      <diagonal/>
    </border>
    <border>
      <left style="thick">
        <color indexed="64"/>
      </left>
      <right style="thin">
        <color theme="3" tint="0.79998168889431442"/>
      </right>
      <top style="thin">
        <color theme="3" tint="0.79998168889431442"/>
      </top>
      <bottom style="thin">
        <color theme="3" tint="0.79995117038483843"/>
      </bottom>
      <diagonal/>
    </border>
  </borders>
  <cellStyleXfs count="10">
    <xf numFmtId="0" fontId="0" fillId="0" borderId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2" fillId="0" borderId="0"/>
    <xf numFmtId="165" fontId="12" fillId="0" borderId="0"/>
    <xf numFmtId="44" fontId="1" fillId="0" borderId="0" applyFont="0" applyFill="0" applyBorder="0" applyAlignment="0" applyProtection="0"/>
    <xf numFmtId="0" fontId="16" fillId="0" borderId="0"/>
  </cellStyleXfs>
  <cellXfs count="116">
    <xf numFmtId="0" fontId="0" fillId="0" borderId="0" xfId="0"/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/>
    <xf numFmtId="0" fontId="3" fillId="0" borderId="5" xfId="0" applyFont="1" applyBorder="1"/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49" fontId="2" fillId="2" borderId="0" xfId="3" applyNumberFormat="1" applyFont="1" applyFill="1" applyBorder="1" applyAlignment="1">
      <alignment vertical="center"/>
    </xf>
    <xf numFmtId="0" fontId="2" fillId="0" borderId="0" xfId="0" applyFont="1" applyAlignment="1">
      <alignment horizontal="left" vertical="center" wrapText="1"/>
    </xf>
    <xf numFmtId="0" fontId="0" fillId="2" borderId="0" xfId="0" applyFill="1" applyAlignment="1">
      <alignment horizontal="left" vertical="center"/>
    </xf>
    <xf numFmtId="49" fontId="2" fillId="2" borderId="0" xfId="3" applyNumberFormat="1" applyFont="1" applyFill="1" applyBorder="1" applyAlignment="1">
      <alignment horizontal="center" vertical="center"/>
    </xf>
    <xf numFmtId="42" fontId="2" fillId="2" borderId="0" xfId="2" applyFont="1" applyFill="1" applyBorder="1" applyAlignment="1">
      <alignment horizontal="left" vertical="center" wrapText="1"/>
    </xf>
    <xf numFmtId="42" fontId="2" fillId="2" borderId="6" xfId="2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49" fontId="6" fillId="2" borderId="0" xfId="3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4" fontId="6" fillId="2" borderId="0" xfId="0" applyNumberFormat="1" applyFont="1" applyFill="1" applyAlignment="1">
      <alignment horizontal="center" vertical="center"/>
    </xf>
    <xf numFmtId="49" fontId="6" fillId="2" borderId="0" xfId="3" applyNumberFormat="1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6" fillId="0" borderId="0" xfId="0" applyFont="1"/>
    <xf numFmtId="0" fontId="3" fillId="0" borderId="0" xfId="0" applyFont="1" applyAlignment="1">
      <alignment horizontal="center" vertical="center"/>
    </xf>
    <xf numFmtId="0" fontId="3" fillId="0" borderId="0" xfId="1" applyNumberFormat="1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 wrapText="1"/>
    </xf>
    <xf numFmtId="0" fontId="7" fillId="3" borderId="14" xfId="1" applyNumberFormat="1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textRotation="90" wrapText="1"/>
    </xf>
    <xf numFmtId="0" fontId="7" fillId="3" borderId="15" xfId="0" applyFont="1" applyFill="1" applyBorder="1" applyAlignment="1">
      <alignment horizontal="center" vertical="center" textRotation="90" wrapText="1"/>
    </xf>
    <xf numFmtId="0" fontId="7" fillId="3" borderId="16" xfId="0" applyFont="1" applyFill="1" applyBorder="1" applyAlignment="1">
      <alignment horizontal="center" vertical="center" textRotation="90" wrapText="1"/>
    </xf>
    <xf numFmtId="0" fontId="8" fillId="4" borderId="17" xfId="0" applyFont="1" applyFill="1" applyBorder="1" applyAlignment="1">
      <alignment horizontal="center" vertical="center" textRotation="90" wrapText="1"/>
    </xf>
    <xf numFmtId="0" fontId="7" fillId="3" borderId="18" xfId="0" applyFont="1" applyFill="1" applyBorder="1" applyAlignment="1">
      <alignment horizontal="center" vertical="center" textRotation="90" wrapText="1"/>
    </xf>
    <xf numFmtId="0" fontId="7" fillId="3" borderId="19" xfId="0" applyFont="1" applyFill="1" applyBorder="1" applyAlignment="1">
      <alignment horizontal="center" vertical="center" textRotation="90" wrapText="1"/>
    </xf>
    <xf numFmtId="164" fontId="8" fillId="4" borderId="20" xfId="0" applyNumberFormat="1" applyFont="1" applyFill="1" applyBorder="1" applyAlignment="1">
      <alignment horizontal="center" vertical="center" textRotation="90" wrapText="1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3" borderId="22" xfId="0" applyFont="1" applyFill="1" applyBorder="1" applyAlignment="1">
      <alignment horizontal="center" vertical="center" wrapText="1"/>
    </xf>
    <xf numFmtId="0" fontId="9" fillId="0" borderId="24" xfId="4" applyNumberFormat="1" applyFont="1" applyBorder="1" applyAlignment="1">
      <alignment horizontal="center" vertical="center" wrapText="1"/>
    </xf>
    <xf numFmtId="42" fontId="9" fillId="0" borderId="24" xfId="5" applyFont="1" applyBorder="1" applyAlignment="1">
      <alignment horizontal="center" vertical="center" wrapText="1"/>
    </xf>
    <xf numFmtId="0" fontId="9" fillId="2" borderId="25" xfId="0" applyFont="1" applyFill="1" applyBorder="1" applyAlignment="1">
      <alignment horizontal="center" vertical="center" wrapText="1"/>
    </xf>
    <xf numFmtId="164" fontId="9" fillId="2" borderId="2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 wrapText="1"/>
    </xf>
    <xf numFmtId="0" fontId="11" fillId="0" borderId="24" xfId="0" applyFont="1" applyBorder="1" applyAlignment="1">
      <alignment horizontal="center" vertical="center" wrapText="1"/>
    </xf>
    <xf numFmtId="0" fontId="10" fillId="0" borderId="24" xfId="5" applyNumberFormat="1" applyFont="1" applyFill="1" applyBorder="1" applyAlignment="1">
      <alignment vertical="center" wrapText="1"/>
    </xf>
    <xf numFmtId="0" fontId="10" fillId="0" borderId="27" xfId="4" applyNumberFormat="1" applyFont="1" applyBorder="1" applyAlignment="1">
      <alignment horizontal="center" vertical="center" wrapText="1"/>
    </xf>
    <xf numFmtId="0" fontId="10" fillId="0" borderId="27" xfId="5" applyNumberFormat="1" applyFont="1" applyFill="1" applyBorder="1" applyAlignment="1">
      <alignment vertical="center" wrapText="1"/>
    </xf>
    <xf numFmtId="1" fontId="10" fillId="2" borderId="23" xfId="0" applyNumberFormat="1" applyFont="1" applyFill="1" applyBorder="1" applyAlignment="1">
      <alignment horizontal="center" vertical="center" wrapText="1"/>
    </xf>
    <xf numFmtId="164" fontId="9" fillId="2" borderId="27" xfId="0" applyNumberFormat="1" applyFont="1" applyFill="1" applyBorder="1" applyAlignment="1">
      <alignment horizontal="center" vertical="center" wrapText="1"/>
    </xf>
    <xf numFmtId="5" fontId="10" fillId="2" borderId="27" xfId="2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29" xfId="0" applyBorder="1"/>
    <xf numFmtId="0" fontId="0" fillId="0" borderId="30" xfId="0" applyBorder="1"/>
    <xf numFmtId="164" fontId="9" fillId="0" borderId="25" xfId="0" applyNumberFormat="1" applyFont="1" applyBorder="1" applyAlignment="1">
      <alignment horizontal="center" vertical="center" wrapText="1"/>
    </xf>
    <xf numFmtId="1" fontId="9" fillId="2" borderId="26" xfId="0" applyNumberFormat="1" applyFont="1" applyFill="1" applyBorder="1" applyAlignment="1">
      <alignment horizontal="center" vertical="center" wrapText="1"/>
    </xf>
    <xf numFmtId="1" fontId="9" fillId="2" borderId="32" xfId="0" applyNumberFormat="1" applyFont="1" applyFill="1" applyBorder="1" applyAlignment="1">
      <alignment horizontal="center" vertical="center" wrapText="1"/>
    </xf>
    <xf numFmtId="1" fontId="10" fillId="2" borderId="31" xfId="0" applyNumberFormat="1" applyFont="1" applyFill="1" applyBorder="1" applyAlignment="1">
      <alignment horizontal="center" vertical="center" wrapText="1"/>
    </xf>
    <xf numFmtId="1" fontId="10" fillId="2" borderId="33" xfId="0" applyNumberFormat="1" applyFont="1" applyFill="1" applyBorder="1" applyAlignment="1">
      <alignment horizontal="center" vertical="center" wrapText="1"/>
    </xf>
    <xf numFmtId="44" fontId="10" fillId="2" borderId="27" xfId="8" applyFont="1" applyFill="1" applyBorder="1" applyAlignment="1">
      <alignment horizontal="center" vertical="center" wrapText="1"/>
    </xf>
    <xf numFmtId="44" fontId="9" fillId="2" borderId="28" xfId="8" applyFont="1" applyFill="1" applyBorder="1" applyAlignment="1">
      <alignment horizontal="center" vertical="center" wrapText="1"/>
    </xf>
    <xf numFmtId="5" fontId="13" fillId="2" borderId="27" xfId="2" applyNumberFormat="1" applyFont="1" applyFill="1" applyBorder="1" applyAlignment="1">
      <alignment horizontal="left" vertical="center" wrapText="1"/>
    </xf>
    <xf numFmtId="0" fontId="13" fillId="2" borderId="26" xfId="0" applyFont="1" applyFill="1" applyBorder="1" applyAlignment="1">
      <alignment horizontal="center" vertical="center" wrapText="1"/>
    </xf>
    <xf numFmtId="0" fontId="13" fillId="0" borderId="24" xfId="4" applyNumberFormat="1" applyFont="1" applyBorder="1" applyAlignment="1">
      <alignment horizontal="center" vertical="center" wrapText="1"/>
    </xf>
    <xf numFmtId="0" fontId="13" fillId="0" borderId="24" xfId="5" applyNumberFormat="1" applyFont="1" applyFill="1" applyBorder="1" applyAlignment="1">
      <alignment vertical="center" wrapText="1"/>
    </xf>
    <xf numFmtId="42" fontId="13" fillId="0" borderId="24" xfId="5" applyFont="1" applyBorder="1" applyAlignment="1">
      <alignment horizontal="center" vertical="center" wrapText="1"/>
    </xf>
    <xf numFmtId="0" fontId="13" fillId="2" borderId="25" xfId="0" applyFont="1" applyFill="1" applyBorder="1" applyAlignment="1">
      <alignment horizontal="center" vertical="center" wrapText="1"/>
    </xf>
    <xf numFmtId="1" fontId="13" fillId="2" borderId="33" xfId="0" applyNumberFormat="1" applyFont="1" applyFill="1" applyBorder="1" applyAlignment="1">
      <alignment horizontal="center" vertical="center" wrapText="1"/>
    </xf>
    <xf numFmtId="164" fontId="14" fillId="0" borderId="34" xfId="0" applyNumberFormat="1" applyFont="1" applyBorder="1" applyAlignment="1">
      <alignment horizontal="center" vertical="center" wrapText="1"/>
    </xf>
    <xf numFmtId="164" fontId="14" fillId="2" borderId="24" xfId="0" applyNumberFormat="1" applyFont="1" applyFill="1" applyBorder="1" applyAlignment="1">
      <alignment horizontal="center" vertical="center" wrapText="1"/>
    </xf>
    <xf numFmtId="44" fontId="13" fillId="2" borderId="24" xfId="8" applyFont="1" applyFill="1" applyBorder="1" applyAlignment="1">
      <alignment horizontal="center" vertical="center" wrapText="1"/>
    </xf>
    <xf numFmtId="44" fontId="14" fillId="2" borderId="25" xfId="8" applyFont="1" applyFill="1" applyBorder="1" applyAlignment="1">
      <alignment horizontal="center" vertical="center" wrapText="1"/>
    </xf>
    <xf numFmtId="1" fontId="13" fillId="2" borderId="26" xfId="0" applyNumberFormat="1" applyFont="1" applyFill="1" applyBorder="1" applyAlignment="1">
      <alignment horizontal="center" vertical="center" wrapText="1"/>
    </xf>
    <xf numFmtId="1" fontId="13" fillId="2" borderId="35" xfId="0" applyNumberFormat="1" applyFont="1" applyFill="1" applyBorder="1" applyAlignment="1">
      <alignment horizontal="center" vertical="center" wrapText="1"/>
    </xf>
    <xf numFmtId="5" fontId="15" fillId="2" borderId="27" xfId="2" applyNumberFormat="1" applyFont="1" applyFill="1" applyBorder="1" applyAlignment="1">
      <alignment horizontal="left" vertical="center" wrapText="1"/>
    </xf>
    <xf numFmtId="0" fontId="13" fillId="0" borderId="24" xfId="4" applyNumberFormat="1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0" borderId="37" xfId="4" applyNumberFormat="1" applyFont="1" applyBorder="1" applyAlignment="1">
      <alignment horizontal="center" vertical="center" wrapText="1"/>
    </xf>
    <xf numFmtId="0" fontId="13" fillId="0" borderId="37" xfId="5" applyNumberFormat="1" applyFont="1" applyFill="1" applyBorder="1" applyAlignment="1">
      <alignment vertical="center" wrapText="1"/>
    </xf>
    <xf numFmtId="42" fontId="13" fillId="0" borderId="37" xfId="5" applyFont="1" applyBorder="1" applyAlignment="1">
      <alignment horizontal="center" vertical="center" wrapText="1"/>
    </xf>
    <xf numFmtId="0" fontId="13" fillId="2" borderId="38" xfId="0" applyFont="1" applyFill="1" applyBorder="1" applyAlignment="1">
      <alignment horizontal="center" vertical="center" wrapText="1"/>
    </xf>
    <xf numFmtId="1" fontId="13" fillId="2" borderId="39" xfId="0" applyNumberFormat="1" applyFont="1" applyFill="1" applyBorder="1" applyAlignment="1">
      <alignment horizontal="center" vertical="center" wrapText="1"/>
    </xf>
    <xf numFmtId="164" fontId="14" fillId="0" borderId="40" xfId="0" applyNumberFormat="1" applyFont="1" applyBorder="1" applyAlignment="1">
      <alignment horizontal="center" vertical="center" wrapText="1"/>
    </xf>
    <xf numFmtId="1" fontId="13" fillId="2" borderId="41" xfId="0" applyNumberFormat="1" applyFont="1" applyFill="1" applyBorder="1" applyAlignment="1">
      <alignment horizontal="center" vertical="center" wrapText="1"/>
    </xf>
    <xf numFmtId="1" fontId="13" fillId="2" borderId="42" xfId="0" applyNumberFormat="1" applyFont="1" applyFill="1" applyBorder="1" applyAlignment="1">
      <alignment horizontal="center" vertical="center" wrapText="1"/>
    </xf>
    <xf numFmtId="164" fontId="14" fillId="2" borderId="37" xfId="0" applyNumberFormat="1" applyFont="1" applyFill="1" applyBorder="1" applyAlignment="1">
      <alignment horizontal="center" vertical="center" wrapText="1"/>
    </xf>
    <xf numFmtId="44" fontId="13" fillId="2" borderId="37" xfId="8" applyFont="1" applyFill="1" applyBorder="1" applyAlignment="1">
      <alignment horizontal="center" vertical="center" wrapText="1"/>
    </xf>
    <xf numFmtId="44" fontId="14" fillId="2" borderId="38" xfId="8" applyFont="1" applyFill="1" applyBorder="1" applyAlignment="1">
      <alignment horizontal="center" vertical="center" wrapText="1"/>
    </xf>
    <xf numFmtId="5" fontId="13" fillId="2" borderId="37" xfId="2" applyNumberFormat="1" applyFont="1" applyFill="1" applyBorder="1" applyAlignment="1">
      <alignment horizontal="left" vertical="center" wrapText="1"/>
    </xf>
    <xf numFmtId="1" fontId="13" fillId="2" borderId="24" xfId="1" applyNumberFormat="1" applyFont="1" applyFill="1" applyBorder="1" applyAlignment="1">
      <alignment horizontal="center" vertical="center" wrapText="1"/>
    </xf>
    <xf numFmtId="1" fontId="13" fillId="2" borderId="37" xfId="1" applyNumberFormat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4" fontId="0" fillId="2" borderId="6" xfId="0" applyNumberFormat="1" applyFill="1" applyBorder="1" applyAlignment="1">
      <alignment horizontal="center" vertical="center"/>
    </xf>
    <xf numFmtId="14" fontId="0" fillId="2" borderId="7" xfId="0" applyNumberForma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</cellXfs>
  <cellStyles count="10">
    <cellStyle name="Excel Built-in Currency [0]" xfId="7" xr:uid="{00000000-0005-0000-0000-000000000000}"/>
    <cellStyle name="Excel Built-in Normal" xfId="6" xr:uid="{00000000-0005-0000-0000-000001000000}"/>
    <cellStyle name="Millares [0]" xfId="1" builtinId="6"/>
    <cellStyle name="Millares [0] 10" xfId="4" xr:uid="{00000000-0005-0000-0000-000003000000}"/>
    <cellStyle name="Moneda" xfId="8" builtinId="4"/>
    <cellStyle name="Moneda [0]" xfId="2" builtinId="7"/>
    <cellStyle name="Moneda [0] 10" xfId="5" xr:uid="{00000000-0005-0000-0000-000006000000}"/>
    <cellStyle name="Normal" xfId="0" builtinId="0"/>
    <cellStyle name="Normal 4" xfId="9" xr:uid="{00000000-0005-0000-0000-000008000000}"/>
    <cellStyle name="Porcentaje" xfId="3" builtinId="5"/>
  </cellStyles>
  <dxfs count="7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9" formatCode="&quot;$&quot;\ #,##0;\-&quot;$&quot;\ #,##0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3" tint="0.79998168889431442"/>
        </left>
        <right style="thin">
          <color theme="3" tint="0.79998168889431442"/>
        </right>
        <top style="thin">
          <color theme="3" tint="0.7999816888943144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9" formatCode="&quot;$&quot;\ #,##0;\-&quot;$&quot;\ #,##0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3" tint="0.79998168889431442"/>
        </left>
        <right style="thin">
          <color theme="3" tint="0.79998168889431442"/>
        </right>
        <top style="thin">
          <color theme="3" tint="0.7999816888943144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32" formatCode="_-&quot;$&quot;\ * #,##0_-;\-&quot;$&quot;\ * #,##0_-;_-&quot;$&quot;\ * &quot;-&quot;_-;_-@_-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3" tint="0.79998168889431442"/>
        </left>
        <right/>
        <top style="thin">
          <color theme="3" tint="0.7999816888943144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3" tint="0.79998168889431442"/>
        </left>
        <right/>
        <top style="thin">
          <color theme="3" tint="0.79998168889431442"/>
        </top>
        <bottom style="thin">
          <color theme="3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32" formatCode="_-&quot;$&quot;\ * #,##0_-;\-&quot;$&quot;\ * #,##0_-;_-&quot;$&quot;\ * &quot;-&quot;_-;_-@_-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3" tint="0.79998168889431442"/>
        </left>
        <right style="thin">
          <color theme="3" tint="0.79998168889431442"/>
        </right>
        <top style="thin">
          <color theme="3" tint="0.7999816888943144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3" tint="0.79998168889431442"/>
        </left>
        <right style="thin">
          <color theme="3" tint="0.79998168889431442"/>
        </right>
        <top style="thin">
          <color theme="3" tint="0.79998168889431442"/>
        </top>
        <bottom style="thin">
          <color theme="3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164" formatCode="0.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3" tint="0.79998168889431442"/>
        </left>
        <right style="thin">
          <color theme="3" tint="0.79998168889431442"/>
        </right>
        <top style="thin">
          <color theme="3" tint="0.79998168889431442"/>
        </top>
        <bottom/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numFmt numFmtId="164" formatCode="0.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3" tint="0.79998168889431442"/>
        </left>
        <right style="thin">
          <color theme="3" tint="0.79998168889431442"/>
        </right>
        <top style="thin">
          <color theme="3" tint="0.79998168889431442"/>
        </top>
        <bottom style="thin">
          <color theme="3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 style="thin">
          <color theme="3" tint="0.79998168889431442"/>
        </right>
        <top style="thin">
          <color theme="3" tint="0.7999816888943144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ck">
          <color indexed="64"/>
        </left>
        <right style="thin">
          <color theme="3" tint="0.79998168889431442"/>
        </right>
        <top style="thin">
          <color theme="3" tint="0.79998168889431442"/>
        </top>
        <bottom style="thin">
          <color theme="3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theme="3" tint="0.79995117038483843"/>
        </left>
        <right style="thick">
          <color theme="3" tint="0.79995117038483843"/>
        </right>
        <top style="thin">
          <color theme="3" tint="0.7999816888943144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ck">
          <color theme="3" tint="0.79995117038483843"/>
        </left>
        <right style="thick">
          <color theme="3" tint="0.79995117038483843"/>
        </right>
        <top style="thin">
          <color theme="3" tint="0.79998168889431442"/>
        </top>
        <bottom style="thin">
          <color theme="3" tint="0.79998168889431442"/>
        </bottom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164" formatCode="0.0"/>
      <alignment horizontal="center" vertical="center" textRotation="0" wrapText="1" indent="0" justifyLastLine="0" shrinkToFit="0" readingOrder="0"/>
      <border diagonalUp="0" diagonalDown="0" outline="0">
        <left style="thin">
          <color theme="3" tint="0.79998168889431442"/>
        </left>
        <right style="thick">
          <color theme="3" tint="0.79995117038483843"/>
        </right>
        <top style="thin">
          <color theme="3" tint="0.79998168889431442"/>
        </top>
        <bottom/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numFmt numFmtId="164" formatCode="0.0"/>
      <alignment horizontal="center" vertical="center" textRotation="0" wrapText="1" indent="0" justifyLastLine="0" shrinkToFit="0" readingOrder="0"/>
      <border diagonalUp="0" diagonalDown="0">
        <left style="thin">
          <color theme="3" tint="0.79998168889431442"/>
        </left>
        <right style="thick">
          <color theme="3" tint="0.79995117038483843"/>
        </right>
        <top style="thin">
          <color theme="3" tint="0.79998168889431442"/>
        </top>
        <bottom style="thin">
          <color theme="3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164" formatCode="0.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3" tint="0.79998168889431442"/>
        </left>
        <right style="thin">
          <color theme="3" tint="0.79998168889431442"/>
        </right>
        <top style="thin">
          <color theme="3" tint="0.7999816888943144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164" formatCode="0.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3" tint="0.79998168889431442"/>
        </left>
        <right style="thin">
          <color theme="3" tint="0.79998168889431442"/>
        </right>
        <top style="thin">
          <color theme="3" tint="0.79998168889431442"/>
        </top>
        <bottom style="thin">
          <color theme="3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theme="3" tint="0.749961851863155"/>
        </left>
        <right style="thin">
          <color theme="3" tint="0.79998168889431442"/>
        </right>
        <top style="thin">
          <color theme="3" tint="0.7999816888943144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ck">
          <color theme="3" tint="0.749961851863155"/>
        </left>
        <right style="thin">
          <color theme="3" tint="0.79998168889431442"/>
        </right>
        <top style="thin">
          <color theme="3" tint="0.79998168889431442"/>
        </top>
        <bottom style="thin">
          <color theme="3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3" tint="0.79998168889431442"/>
        </left>
        <right/>
        <top style="thin">
          <color theme="3" tint="0.7999816888943144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3" tint="0.79998168889431442"/>
        </left>
        <right/>
        <top style="thin">
          <color theme="3" tint="0.79998168889431442"/>
        </top>
        <bottom style="thin">
          <color theme="3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32" formatCode="_-&quot;$&quot;\ * #,##0_-;\-&quot;$&quot;\ * #,##0_-;_-&quot;$&quot;\ * &quot;-&quot;_-;_-@_-"/>
      <alignment horizontal="center" vertical="center" textRotation="0" wrapText="1" indent="0" justifyLastLine="0" shrinkToFit="0" readingOrder="0"/>
      <border diagonalUp="0" diagonalDown="0" outline="0">
        <left style="thin">
          <color theme="3" tint="0.79998168889431442"/>
        </left>
        <right style="thin">
          <color theme="3" tint="0.79998168889431442"/>
        </right>
        <top style="thin">
          <color theme="3" tint="0.7999816888943144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3" tint="0.79998168889431442"/>
        </left>
        <right style="thin">
          <color theme="3" tint="0.79998168889431442"/>
        </right>
        <top style="thin">
          <color theme="3" tint="0.79998168889431442"/>
        </top>
        <bottom style="thin">
          <color theme="3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3" tint="0.79998168889431442"/>
        </left>
        <right style="thin">
          <color theme="3" tint="0.79998168889431442"/>
        </right>
        <top style="thin">
          <color theme="3" tint="0.7999816888943144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3" tint="0.79998168889431442"/>
        </left>
        <right style="thin">
          <color theme="3" tint="0.79998168889431442"/>
        </right>
        <top style="thin">
          <color theme="3" tint="0.79998168889431442"/>
        </top>
        <bottom style="thin">
          <color theme="3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theme="3" tint="0.79998168889431442"/>
        </left>
        <right style="thin">
          <color theme="3" tint="0.79998168889431442"/>
        </right>
        <top style="thin">
          <color theme="3" tint="0.7999816888943144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theme="3" tint="0.79998168889431442"/>
        </left>
        <right style="thin">
          <color theme="3" tint="0.79998168889431442"/>
        </right>
        <top style="thin">
          <color theme="3" tint="0.79998168889431442"/>
        </top>
        <bottom style="thin">
          <color theme="3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3" tint="0.79998168889431442"/>
        </right>
        <top style="thin">
          <color theme="3" tint="0.7999816888943144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3" tint="0.79998168889431442"/>
        </right>
        <top style="thin">
          <color theme="3" tint="0.79998168889431442"/>
        </top>
        <bottom style="thin">
          <color theme="3" tint="0.79998168889431442"/>
        </bottom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06/relationships/rdRichValueStructure" Target="richData/rdrichvaluestructure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22/10/relationships/richValueRel" Target="richData/richValueRel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1" ns2:uid="{00000000-000C-0000-FFFF-FFFF00000000}" name="Tabla2" displayName="Tabla2" ref="A10:N21" totalsRowShown="0">
  <autoFilter ref="A10:N21" ns2:uid="{00000000-0009-0000-0100-000001000000}"/>
  <tableColumns count="14">
    <tableColumn id="2" ns3:uid="{00000000-0010-0000-0000-000002000000}" name="AREA" dataDxfId="27" totalsRowDxfId="26"/>
    <tableColumn id="3" ns3:uid="{00000000-0010-0000-0000-000003000000}" name="COD SAP" dataDxfId="25" totalsRowDxfId="24" dataCellStyle="Millares [0] 10"/>
    <tableColumn id="4" ns3:uid="{00000000-0010-0000-0000-000004000000}" name="PRODUCTO O SERVICIO" dataDxfId="23" totalsRowDxfId="22" dataCellStyle="Moneda [0] 10"/>
    <tableColumn id="5" ns3:uid="{00000000-0010-0000-0000-000005000000}" name="ORIGEN" dataDxfId="21" totalsRowDxfId="20" dataCellStyle="Moneda [0] 10"/>
    <tableColumn id="6" ns3:uid="{00000000-0010-0000-0000-000006000000}" name="UM" dataDxfId="19" totalsRowDxfId="18"/>
    <tableColumn id="7" ns3:uid="{00000000-0010-0000-0000-000007000000}" name="CANT" dataDxfId="17" totalsRowDxfId="16"/>
    <tableColumn id="8" ns3:uid="{00000000-0010-0000-0000-000008000000}" name="Consumo_x000a_/ Mes" dataDxfId="15" totalsRowDxfId="14" dataCellStyle="Millares [0]"/>
    <tableColumn id="9" ns3:uid="{00000000-0010-0000-0000-000009000000}" name="Duracion_x000a_/ Mes" dataDxfId="13" totalsRowDxfId="12">
      <calculatedColumnFormula>IFERROR(F11/G11,0)</calculatedColumnFormula>
    </tableColumn>
    <tableColumn id="10" ns3:uid="{00000000-0010-0000-0000-00000A000000}" name="T.  entrega_x000a_ Meses" dataDxfId="11" totalsRowDxfId="10"/>
    <tableColumn id="11" ns3:uid="{00000000-0010-0000-0000-00000B000000}" name="CANT2" dataDxfId="9" totalsRowDxfId="8"/>
    <tableColumn id="12" ns3:uid="{00000000-0010-0000-0000-00000C000000}" name="Duracion Total (Inv +Pedc)_x000a_/ Mes" dataDxfId="7" totalsRowDxfId="6">
      <calculatedColumnFormula>IFERROR((F11+J11)/G11,0)</calculatedColumnFormula>
    </tableColumn>
    <tableColumn id="13" ns3:uid="{00000000-0010-0000-0000-00000D000000}" name="VALOR UND" dataDxfId="5" totalsRowDxfId="4" dataCellStyle="Moneda"/>
    <tableColumn id="14" ns3:uid="{00000000-0010-0000-0000-00000E000000}" name="VALOR ESTIMADO" dataDxfId="3" totalsRowDxfId="2" dataCellStyle="Moneda">
      <calculatedColumnFormula>+L11*J11</calculatedColumnFormula>
    </tableColumn>
    <tableColumn id="15" ns3:uid="{00000000-0010-0000-0000-00000F000000}" name="OBSERVACIONES" dataDxfId="1" totalsRowDxfId="0" dataCellStyle="Moneda [0]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xmlns:ns4="http://schemas.microsoft.com/office/spreadsheetml/2009/9/main" xmlns:ns5="http://schemas.microsoft.com/office/excel/2006/main" ns1:Ignorable="x14ac xr xr2 xr3" ns2:uid="{00000000-0001-0000-0000-000000000000}">
  <sheetPr codeName="Hoja1"/>
  <dimension ref="A1:Z21"/>
  <sheetViews>
    <sheetView showGridLines="0" tabSelected="1" topLeftCell="M9" zoomScaleNormal="100" zoomScaleSheetLayoutView="85" workbookViewId="0">
      <selection activeCell="N14" sqref="N14"/>
    </sheetView>
  </sheetViews>
  <sheetFormatPr baseColWidth="10" defaultColWidth="9.125" defaultRowHeight="15" customHeight="1"/>
  <cols>
    <col min="1" max="1" width="17.875" style="62" bestFit="1" customWidth="1"/>
    <col min="2" max="2" width="14.25" style="62" bestFit="1" customWidth="1"/>
    <col min="3" max="3" width="53.375" style="63" customWidth="1"/>
    <col min="4" max="9" width="6.75" style="62" customWidth="1"/>
    <col min="10" max="10" width="5.75" style="62" customWidth="1"/>
    <col min="11" max="11" width="12" style="62" customWidth="1"/>
    <col min="12" max="12" width="19" style="62" bestFit="1" customWidth="1"/>
    <col min="13" max="13" width="22" style="62" bestFit="1" customWidth="1"/>
    <col min="14" max="14" width="65.75" style="64" customWidth="1"/>
    <col min="15" max="26" width="11.375" style="53" customWidth="1"/>
    <col min="27" max="40" width="11.375" style="54" customWidth="1"/>
    <col min="41" max="16363" width="9.125" style="54"/>
    <col min="16364" max="16364" width="7.375" style="54" customWidth="1"/>
    <col min="16365" max="16365" width="9.375" style="54" customWidth="1"/>
    <col min="16366" max="16366" width="9.125" style="54" customWidth="1"/>
    <col min="16367" max="16367" width="12.75" style="54" customWidth="1"/>
    <col min="16368" max="16368" width="4.25" style="54" customWidth="1"/>
    <col min="16369" max="16369" width="3.125" style="54" customWidth="1"/>
    <col min="16370" max="16370" width="2" style="54" customWidth="1"/>
    <col min="16371" max="16384" width="1.375" style="54" customWidth="1"/>
  </cols>
  <sheetData>
    <row r="1" spans="1:26" s="6" customFormat="1" ht="12" hidden="1" thickBot="1">
      <c r="A1" s="2"/>
      <c r="B1" s="2"/>
      <c r="C1" s="1"/>
      <c r="D1" s="3"/>
      <c r="E1" s="1"/>
      <c r="F1" s="1"/>
      <c r="G1" s="1"/>
      <c r="H1" s="1"/>
      <c r="I1" s="1"/>
      <c r="J1" s="1"/>
      <c r="K1" s="1"/>
      <c r="L1" s="4"/>
      <c r="M1" s="4"/>
      <c r="N1" s="5"/>
    </row>
    <row r="2" spans="1:26" s="6" customFormat="1" ht="24" hidden="1" thickBot="1">
      <c r="A2" s="104"/>
      <c r="B2" s="104"/>
      <c r="C2" s="104"/>
      <c r="D2" s="104"/>
      <c r="E2" s="104"/>
      <c r="F2" s="104"/>
      <c r="G2" s="104"/>
      <c r="H2" s="104"/>
      <c r="I2" s="104"/>
      <c r="J2" s="105"/>
      <c r="K2" s="106" t="s">
        <v>0</v>
      </c>
      <c r="L2" s="104"/>
      <c r="M2" s="104"/>
      <c r="N2" s="105"/>
    </row>
    <row r="3" spans="1:26" s="6" customFormat="1" ht="2.4500000000000002" hidden="1" customHeight="1" thickBot="1">
      <c r="A3" s="8"/>
      <c r="B3" s="8"/>
      <c r="C3" s="7"/>
      <c r="D3" s="9"/>
      <c r="E3" s="7"/>
      <c r="F3" s="7"/>
      <c r="G3" s="7"/>
      <c r="H3" s="7"/>
      <c r="I3" s="7"/>
      <c r="J3" s="7"/>
      <c r="L3" s="10"/>
      <c r="M3" s="10"/>
      <c r="N3" s="11"/>
    </row>
    <row r="4" spans="1:26" s="12" customFormat="1" ht="15.75" hidden="1" thickBot="1">
      <c r="A4" s="13"/>
      <c r="B4" s="14" t="s">
        <v>1</v>
      </c>
      <c r="C4" s="15"/>
      <c r="D4" s="16"/>
      <c r="E4" s="15"/>
      <c r="F4" s="17"/>
      <c r="G4" s="17"/>
      <c r="H4" s="17"/>
      <c r="I4" s="17"/>
      <c r="L4" s="13"/>
      <c r="M4" s="13"/>
      <c r="N4" s="18" t="s">
        <v>2</v>
      </c>
      <c r="R4" s="13"/>
      <c r="S4" s="13"/>
      <c r="T4" s="13"/>
      <c r="U4" s="13"/>
      <c r="V4" s="13"/>
      <c r="W4" s="13"/>
      <c r="X4" s="13"/>
      <c r="Y4" s="13"/>
      <c r="Z4" s="13"/>
    </row>
    <row r="5" spans="1:26" s="12" customFormat="1" ht="0.95" hidden="1" customHeight="1" thickBot="1">
      <c r="A5" s="13"/>
      <c r="B5" s="13"/>
      <c r="D5" s="19"/>
      <c r="F5" s="20"/>
      <c r="G5" s="20"/>
      <c r="H5" s="20"/>
      <c r="I5" s="20"/>
      <c r="K5" s="14"/>
      <c r="L5" s="13"/>
      <c r="M5" s="13"/>
      <c r="N5" s="21"/>
      <c r="R5" s="13"/>
      <c r="S5" s="13"/>
      <c r="T5" s="13"/>
      <c r="U5" s="13"/>
      <c r="V5" s="13"/>
      <c r="W5" s="13"/>
      <c r="X5" s="13"/>
      <c r="Y5" s="13"/>
      <c r="Z5" s="13"/>
    </row>
    <row r="6" spans="1:26" s="12" customFormat="1" ht="15.75" hidden="1" thickBot="1">
      <c r="A6" s="13"/>
      <c r="B6" s="107">
        <v>46247</v>
      </c>
      <c r="C6" s="108"/>
      <c r="D6" s="108"/>
      <c r="E6" s="108"/>
      <c r="F6" s="108"/>
      <c r="G6" s="108"/>
      <c r="H6" s="108"/>
      <c r="I6" s="108"/>
      <c r="J6" s="109"/>
      <c r="K6" s="15"/>
      <c r="L6" s="13"/>
      <c r="M6" s="13"/>
      <c r="N6" s="22" t="inlineStr">
        <is>
          <t>MP TAPA PLASTICA</t>
        </is>
      </c>
      <c r="R6" s="13"/>
      <c r="S6" s="13"/>
      <c r="T6" s="13"/>
      <c r="U6" s="13"/>
      <c r="V6" s="13"/>
      <c r="W6" s="13"/>
      <c r="X6" s="13"/>
      <c r="Y6" s="13"/>
      <c r="Z6" s="13"/>
    </row>
    <row r="7" spans="1:26" s="31" customFormat="1" ht="3" hidden="1" customHeight="1" thickBot="1">
      <c r="A7" s="23"/>
      <c r="B7" s="23"/>
      <c r="C7" s="24"/>
      <c r="D7" s="25"/>
      <c r="E7" s="23"/>
      <c r="F7" s="26"/>
      <c r="G7" s="26"/>
      <c r="H7" s="26"/>
      <c r="I7" s="26"/>
      <c r="J7" s="27"/>
      <c r="K7" s="23"/>
      <c r="L7" s="23"/>
      <c r="M7" s="28"/>
      <c r="N7" s="29"/>
      <c r="R7" s="30"/>
      <c r="S7" s="30"/>
      <c r="T7" s="30"/>
      <c r="U7" s="30"/>
      <c r="V7" s="30"/>
      <c r="W7" s="30"/>
      <c r="X7" s="30"/>
      <c r="Y7" s="30"/>
      <c r="Z7" s="30"/>
    </row>
    <row r="8" spans="1:26" s="6" customFormat="1" ht="13.5" hidden="1" customHeight="1" thickBot="1">
      <c r="A8" s="14"/>
      <c r="B8" s="14" t="s">
        <v>4</v>
      </c>
      <c r="C8" s="32"/>
      <c r="D8" s="33"/>
      <c r="E8" s="32"/>
      <c r="F8" s="34"/>
      <c r="G8" s="34"/>
      <c r="H8" s="34"/>
      <c r="I8" s="34"/>
      <c r="L8" s="10"/>
      <c r="M8" s="10"/>
      <c r="N8" s="11"/>
    </row>
    <row r="9" spans="1:26" s="31" customFormat="1" ht="45.75" customHeight="1" thickBot="1">
      <c r="A9" s="35"/>
      <c r="B9" s="36"/>
      <c r="C9" s="36" t="e" vm="1">
        <v>#VALUE!</v>
      </c>
      <c r="D9" s="36"/>
      <c r="E9" s="36"/>
      <c r="F9" s="110" t="s">
        <v>5</v>
      </c>
      <c r="G9" s="111"/>
      <c r="H9" s="112"/>
      <c r="I9" s="35"/>
      <c r="J9" s="113" t="s">
        <v>6</v>
      </c>
      <c r="K9" s="114"/>
      <c r="L9" s="114"/>
      <c r="M9" s="115"/>
      <c r="N9" s="11"/>
      <c r="O9" s="30"/>
      <c r="P9" s="30"/>
      <c r="Q9" s="30"/>
      <c r="R9" s="30"/>
      <c r="S9" s="30"/>
      <c r="T9" s="30"/>
      <c r="U9" s="30"/>
      <c r="V9" s="30"/>
      <c r="W9" s="30"/>
      <c r="X9" s="30"/>
    </row>
    <row r="10" spans="1:26" s="30" customFormat="1" ht="66" customHeight="1">
      <c r="A10" s="37" t="s">
        <v>7</v>
      </c>
      <c r="B10" s="38" t="s">
        <v>8</v>
      </c>
      <c r="C10" s="37" t="s">
        <v>9</v>
      </c>
      <c r="D10" s="39" t="s">
        <v>10</v>
      </c>
      <c r="E10" s="39" t="s">
        <v>11</v>
      </c>
      <c r="F10" s="40" t="s">
        <v>12</v>
      </c>
      <c r="G10" s="41" t="s">
        <v>13</v>
      </c>
      <c r="H10" s="42" t="s">
        <v>14</v>
      </c>
      <c r="I10" s="43" t="s">
        <v>15</v>
      </c>
      <c r="J10" s="44" t="s">
        <v>16</v>
      </c>
      <c r="K10" s="45" t="s">
        <v>17</v>
      </c>
      <c r="L10" s="46" t="s">
        <v>18</v>
      </c>
      <c r="M10" s="47" t="s">
        <v>19</v>
      </c>
      <c r="N10" s="48" t="s">
        <v>20</v>
      </c>
    </row>
    <row r="11" spans="1:26">
      <c r="A11" s="55" t="inlineStr">
        <is>
          <t>MP TAPA PLASTICA</t>
        </is>
      </c>
      <c r="B11" s="49" t="inlineStr">
        <is>
          <t>1236966</t>
        </is>
      </c>
      <c r="C11" s="56" t="inlineStr">
        <is>
          <t>0-026-00-830-5 BORRADO USAR 1412363</t>
        </is>
      </c>
      <c r="D11" s="50" t="inlineStr">
        <is>
          <t>NAL</t>
        </is>
      </c>
      <c r="E11" s="51" t="inlineStr">
        <is>
          <t>PZA</t>
        </is>
      </c>
      <c r="F11" s="71">
        <v>0</v>
      </c>
      <c r="G11" s="68">
        <v>1</v>
      </c>
      <c r="H11" s="67">
        <f>IFERROR(F11/G11,0)</f>
        <v>0</v>
      </c>
      <c r="I11" s="69">
        <v>1</v>
      </c>
      <c r="J11" s="68">
        <v>2</v>
      </c>
      <c r="K11" s="60">
        <f>IFERROR((F11+J11)/G11,0)</f>
        <v>0</v>
      </c>
      <c r="L11" s="72">
        <v>3000</v>
      </c>
      <c r="M11" s="73">
        <f>L11*J11</f>
        <v>0</v>
      </c>
      <c r="N11" s="74" t="inlineStr">
        <is>
          <t>na</t>
        </is>
      </c>
    </row>
    <row r="12" spans="1:26">
      <c r="A12" s="55"/>
      <c r="B12" s="49"/>
      <c r="C12" s="56"/>
      <c r="D12" s="50"/>
      <c r="E12" s="51"/>
      <c r="F12" s="71"/>
      <c r="G12" s="68"/>
      <c r="H12" s="67">
        <f>IFERROR(F12/G12,0)</f>
        <v>0</v>
      </c>
      <c r="I12" s="69"/>
      <c r="J12" s="68"/>
      <c r="K12" s="60">
        <f>IFERROR((F12+J12)/G12,0)</f>
        <v>0</v>
      </c>
      <c r="L12" s="72"/>
      <c r="M12" s="73">
        <f>L12*J12</f>
        <v>0</v>
      </c>
      <c r="N12" s="61"/>
    </row>
    <row r="13" spans="1:26" ht="15" customHeight="1">
      <c r="A13" s="55"/>
      <c r="B13" s="49"/>
      <c r="C13"/>
      <c r="D13" s="50"/>
      <c r="E13" s="51"/>
      <c r="F13" s="71"/>
      <c r="G13" s="68"/>
      <c r="H13" s="67">
        <f>IFERROR(F13/G13,0)</f>
        <v>0</v>
      </c>
      <c r="I13" s="69"/>
      <c r="J13" s="68"/>
      <c r="K13" s="60">
        <f>IFERROR((F13+J13)/G13,0)</f>
        <v>0</v>
      </c>
      <c r="L13" s="72"/>
      <c r="M13" s="73">
        <f>L13*J13</f>
        <v>0</v>
      </c>
      <c r="N13" s="61"/>
    </row>
    <row r="14" spans="1:26" ht="15" customHeight="1">
      <c r="A14" s="55"/>
      <c r="B14" s="57"/>
      <c r="C14" s="58"/>
      <c r="D14" s="50"/>
      <c r="E14" s="51"/>
      <c r="F14" s="71"/>
      <c r="G14" s="68"/>
      <c r="H14" s="67">
        <f>IFERROR(F14/G14,0)</f>
        <v>0</v>
      </c>
      <c r="I14" s="70"/>
      <c r="J14" s="59"/>
      <c r="K14" s="60">
        <f>IFERROR((F14+J14)/G14,0)</f>
        <v>0</v>
      </c>
      <c r="L14" s="72"/>
      <c r="M14" s="73">
        <f>L14*J14</f>
        <v>0</v>
      </c>
      <c r="N14" s="74"/>
    </row>
    <row r="15" spans="1:26">
      <c r="A15" s="55"/>
      <c r="B15" s="49"/>
      <c r="C15" s="56"/>
      <c r="D15" s="50"/>
      <c r="E15" s="51"/>
      <c r="F15" s="71"/>
      <c r="G15" s="68"/>
      <c r="H15" s="67">
        <f>IFERROR(F15/G15,0)</f>
        <v>0</v>
      </c>
      <c r="I15" s="69"/>
      <c r="J15" s="68"/>
      <c r="K15" s="52">
        <f>IFERROR((F15+J15)/G15,0)</f>
        <v>0</v>
      </c>
      <c r="L15" s="72"/>
      <c r="M15" s="73">
        <f>L15*J15</f>
        <v>0</v>
      </c>
      <c r="N15" s="61"/>
    </row>
    <row r="16" spans="1:26" ht="15.75">
      <c r="A16" s="55"/>
      <c r="B16" s="57"/>
      <c r="C16" s="58"/>
      <c r="D16" s="50"/>
      <c r="E16" s="51"/>
      <c r="F16" s="71"/>
      <c r="G16" s="68"/>
      <c r="H16" s="67">
        <f>IFERROR(F16/G16,0)</f>
        <v>0</v>
      </c>
      <c r="I16" s="70"/>
      <c r="J16" s="59"/>
      <c r="K16" s="60">
        <f>IFERROR((F16+J16)/G16,0)</f>
        <v>0</v>
      </c>
      <c r="L16" s="72"/>
      <c r="M16" s="73">
        <f>L16*J16</f>
        <v>0</v>
      </c>
      <c r="N16" s="87"/>
    </row>
    <row r="17" spans="1:14" ht="15.75">
      <c r="A17" s="55"/>
      <c r="B17" s="49"/>
      <c r="C17" s="56"/>
      <c r="D17" s="50"/>
      <c r="E17" s="51"/>
      <c r="F17" s="71"/>
      <c r="G17" s="68"/>
      <c r="H17" s="67">
        <f>IFERROR(F17/G17,0)</f>
        <v>0</v>
      </c>
      <c r="I17" s="69"/>
      <c r="J17" s="68"/>
      <c r="K17" s="52">
        <f>IFERROR((F17+J17)/G17,0)</f>
        <v>0</v>
      </c>
      <c r="L17" s="72"/>
      <c r="M17" s="73">
        <f>L17*J17</f>
        <v>0</v>
      </c>
      <c r="N17" s="87"/>
    </row>
    <row r="18" spans="1:14" ht="15" customHeight="1">
      <c r="A18" s="55"/>
      <c r="B18" s="76"/>
      <c r="C18" s="77"/>
      <c r="D18" s="78"/>
      <c r="E18" s="79"/>
      <c r="F18" s="80"/>
      <c r="G18" s="102"/>
      <c r="H18" s="81">
        <f>IFERROR(F18/G18,0)</f>
        <v>0</v>
      </c>
      <c r="I18" s="86"/>
      <c r="J18" s="85"/>
      <c r="K18" s="82">
        <f>IFERROR((F18+J18)/G18,0)</f>
        <v>0</v>
      </c>
      <c r="L18" s="83"/>
      <c r="M18" s="84">
        <f>L18*J18</f>
        <v>0</v>
      </c>
      <c r="N18" s="74"/>
    </row>
    <row r="19" spans="1:14" ht="15" customHeight="1">
      <c r="A19" s="75"/>
      <c r="B19" s="76"/>
      <c r="C19" s="77"/>
      <c r="D19" s="78"/>
      <c r="E19" s="79"/>
      <c r="F19" s="80"/>
      <c r="G19" s="102"/>
      <c r="H19" s="81">
        <f>IFERROR(F19/G19,0)</f>
        <v>0</v>
      </c>
      <c r="I19" s="86"/>
      <c r="J19" s="85"/>
      <c r="K19" s="82">
        <f>IFERROR((F19+J19)/G19,0)</f>
        <v>0</v>
      </c>
      <c r="L19" s="83"/>
      <c r="M19" s="84">
        <f>L19*J19</f>
        <v>0</v>
      </c>
      <c r="N19" s="74"/>
    </row>
    <row r="20" spans="1:14" ht="15" customHeight="1">
      <c r="A20" s="55"/>
      <c r="B20" s="88"/>
      <c r="C20" s="56"/>
      <c r="D20" s="50"/>
      <c r="E20" s="51"/>
      <c r="F20" s="71"/>
      <c r="G20" s="68"/>
      <c r="H20" s="67">
        <f>IFERROR(F20/G20,0)</f>
        <v>0</v>
      </c>
      <c r="I20" s="69"/>
      <c r="J20" s="68"/>
      <c r="K20" s="52">
        <f>IFERROR((F20+J20)/G20,0)</f>
        <v>0</v>
      </c>
      <c r="L20" s="72"/>
      <c r="M20" s="73">
        <f>L20*J20</f>
        <v>0</v>
      </c>
      <c r="N20" s="74"/>
    </row>
    <row r="21" spans="1:14" ht="15" customHeight="1">
      <c r="A21" s="89"/>
      <c r="B21" s="90"/>
      <c r="C21" s="91"/>
      <c r="D21" s="92"/>
      <c r="E21" s="93"/>
      <c r="F21" s="94"/>
      <c r="G21" s="103"/>
      <c r="H21" s="95">
        <f>IFERROR(F21/G21,0)</f>
        <v>0</v>
      </c>
      <c r="I21" s="96"/>
      <c r="J21" s="97"/>
      <c r="K21" s="98">
        <f>IFERROR((F21+J21)/G21,0)</f>
        <v>0</v>
      </c>
      <c r="L21" s="99"/>
      <c r="M21" s="100">
        <f>L21*J21</f>
        <v>0</v>
      </c>
      <c r="N21" s="101"/>
    </row>
  </sheetData>
  <dataConsolidate/>
  <mergeCells count="5">
    <mergeCell ref="A2:J2"/>
    <mergeCell ref="K2:N2"/>
    <mergeCell ref="B6:J6"/>
    <mergeCell ref="F9:H9"/>
    <mergeCell ref="J9:M9"/>
  </mergeCells>
  <conditionalFormatting sqref="I11:I21 C11:D11 C15:D20 C12 C14 A11:A21">
    <cfRule type="expression" dxfId="73" priority="34">
      <formula>#REF!="Aplazado"</formula>
    </cfRule>
    <cfRule type="expression" dxfId="72" priority="35">
      <formula>#REF!="Aprobado"</formula>
    </cfRule>
    <cfRule type="expression" dxfId="71" priority="36">
      <formula>#REF!="Negado"</formula>
    </cfRule>
  </conditionalFormatting>
  <conditionalFormatting sqref="B11:B19">
    <cfRule type="duplicateValues" dxfId="70" priority="443"/>
    <cfRule type="duplicateValues" dxfId="69" priority="477"/>
    <cfRule type="expression" dxfId="68" priority="478">
      <formula>#REF!="Aplazado"</formula>
    </cfRule>
    <cfRule type="expression" dxfId="67" priority="479">
      <formula>#REF!="Aprobado"</formula>
    </cfRule>
    <cfRule type="expression" dxfId="66" priority="480">
      <formula>#REF!="Negado"</formula>
    </cfRule>
  </conditionalFormatting>
  <conditionalFormatting sqref="G11:G21 J11:J21 E11 E15:E20">
    <cfRule type="expression" dxfId="65" priority="38">
      <formula>#REF!="Aprobado"</formula>
    </cfRule>
    <cfRule type="expression" dxfId="64" priority="39">
      <formula>#REF!="Aplazado"</formula>
    </cfRule>
    <cfRule type="expression" dxfId="63" priority="40">
      <formula>#REF!="Negado"</formula>
    </cfRule>
  </conditionalFormatting>
  <conditionalFormatting sqref="F11:F21 N11:N21">
    <cfRule type="expression" dxfId="62" priority="161">
      <formula>#REF!="Negado"</formula>
    </cfRule>
    <cfRule type="expression" dxfId="61" priority="162">
      <formula>#REF!="Aplazado"</formula>
    </cfRule>
    <cfRule type="expression" dxfId="60" priority="163">
      <formula>#REF!="Aprobado"</formula>
    </cfRule>
  </conditionalFormatting>
  <conditionalFormatting sqref="H11:H21">
    <cfRule type="expression" dxfId="59" priority="164" stopIfTrue="1">
      <formula>#REF!&lt;&gt;0</formula>
    </cfRule>
  </conditionalFormatting>
  <conditionalFormatting sqref="K11:K21">
    <cfRule type="expression" dxfId="58" priority="37" stopIfTrue="1">
      <formula>$J11&lt;&gt;0</formula>
    </cfRule>
  </conditionalFormatting>
  <conditionalFormatting sqref="L11:L21">
    <cfRule type="expression" dxfId="57" priority="184">
      <formula>#REF!="Aplazado"</formula>
    </cfRule>
    <cfRule type="expression" dxfId="56" priority="185">
      <formula>#REF!="Aprobado"</formula>
    </cfRule>
    <cfRule type="expression" dxfId="55" priority="186">
      <formula>#REF!="Negado"</formula>
    </cfRule>
  </conditionalFormatting>
  <conditionalFormatting sqref="M11:M21">
    <cfRule type="expression" dxfId="54" priority="24">
      <formula>#REF!="Aplazado"</formula>
    </cfRule>
    <cfRule type="expression" dxfId="53" priority="25">
      <formula>#REF!="Aprobado"</formula>
    </cfRule>
    <cfRule type="expression" dxfId="52" priority="26">
      <formula>#REF!="Negado"</formula>
    </cfRule>
  </conditionalFormatting>
  <conditionalFormatting sqref="N1">
    <cfRule type="expression" dxfId="51" priority="209">
      <formula>$O1="Negado"</formula>
    </cfRule>
  </conditionalFormatting>
  <conditionalFormatting sqref="D12">
    <cfRule type="expression" dxfId="50" priority="18">
      <formula>#REF!="Aplazado"</formula>
    </cfRule>
    <cfRule type="expression" dxfId="49" priority="19">
      <formula>#REF!="Aprobado"</formula>
    </cfRule>
    <cfRule type="expression" dxfId="48" priority="20">
      <formula>#REF!="Negado"</formula>
    </cfRule>
  </conditionalFormatting>
  <conditionalFormatting sqref="E12">
    <cfRule type="expression" dxfId="47" priority="21">
      <formula>#REF!="Aprobado"</formula>
    </cfRule>
    <cfRule type="expression" dxfId="46" priority="22">
      <formula>#REF!="Aplazado"</formula>
    </cfRule>
    <cfRule type="expression" dxfId="45" priority="23">
      <formula>#REF!="Negado"</formula>
    </cfRule>
  </conditionalFormatting>
  <conditionalFormatting sqref="D13">
    <cfRule type="expression" dxfId="44" priority="12">
      <formula>#REF!="Aplazado"</formula>
    </cfRule>
    <cfRule type="expression" dxfId="43" priority="13">
      <formula>#REF!="Aprobado"</formula>
    </cfRule>
    <cfRule type="expression" dxfId="42" priority="14">
      <formula>#REF!="Negado"</formula>
    </cfRule>
  </conditionalFormatting>
  <conditionalFormatting sqref="E13">
    <cfRule type="expression" dxfId="41" priority="15">
      <formula>#REF!="Aprobado"</formula>
    </cfRule>
    <cfRule type="expression" dxfId="40" priority="16">
      <formula>#REF!="Aplazado"</formula>
    </cfRule>
    <cfRule type="expression" dxfId="39" priority="17">
      <formula>#REF!="Negado"</formula>
    </cfRule>
  </conditionalFormatting>
  <conditionalFormatting sqref="D14">
    <cfRule type="expression" dxfId="38" priority="6">
      <formula>#REF!="Aplazado"</formula>
    </cfRule>
    <cfRule type="expression" dxfId="37" priority="7">
      <formula>#REF!="Aprobado"</formula>
    </cfRule>
    <cfRule type="expression" dxfId="36" priority="8">
      <formula>#REF!="Negado"</formula>
    </cfRule>
  </conditionalFormatting>
  <conditionalFormatting sqref="E14">
    <cfRule type="expression" dxfId="35" priority="9">
      <formula>#REF!="Aprobado"</formula>
    </cfRule>
    <cfRule type="expression" dxfId="34" priority="10">
      <formula>#REF!="Aplazado"</formula>
    </cfRule>
    <cfRule type="expression" dxfId="33" priority="11">
      <formula>#REF!="Negado"</formula>
    </cfRule>
  </conditionalFormatting>
  <conditionalFormatting sqref="B20">
    <cfRule type="duplicateValues" dxfId="32" priority="1"/>
    <cfRule type="duplicateValues" dxfId="31" priority="2"/>
    <cfRule type="expression" dxfId="30" priority="3">
      <formula>#REF!="Aplazado"</formula>
    </cfRule>
    <cfRule type="expression" dxfId="29" priority="4">
      <formula>#REF!="Aprobado"</formula>
    </cfRule>
    <cfRule type="expression" dxfId="28" priority="5">
      <formula>#REF!="Negado"</formula>
    </cfRule>
  </conditionalFormatting>
  <pageMargins left="0.25" right="0.25" top="0.75" bottom="0.75" header="0.3" footer="0.3"/>
  <pageSetup scale="59" orientation="landscape" ns3:id="rId1"/>
  <tableParts count="1">
    <tablePart ns3:id="rId2"/>
  </tableParts>
  <extLst>
    <ext uri="{CCE6A557-97BC-4b89-ADB6-D9C93CAAB3DF}">
      <ns4:dataValidations count="3">
        <ns4:dataValidation type="list" allowBlank="1" showInputMessage="1" showErrorMessage="1" errorTitle="ERROR SELECCIÓN DATOS" error="Ingresar valores de acuerdo con lista desplegable." ns2:uid="{00000000-0002-0000-0000-000000000000}">
          <ns4:formula1>
            <ns5:f>Hoja1!$C$2:$C$3</ns5:f>
          </ns4:formula1>
          <ns5:sqref>D11:D21</ns5:sqref>
        </ns4:dataValidation>
        <ns4:dataValidation type="list" allowBlank="1" showInputMessage="1" showErrorMessage="1" errorTitle="ERROR DIGITACIÓN DATOS" error="Ingresar valores de acuerdo con lista desplegable." ns2:uid="{00000000-0002-0000-0000-000001000000}">
          <ns4:formula1>
            <ns5:f>Hoja1!$B$3:$B$9</ns5:f>
          </ns4:formula1>
          <ns5:sqref>E11:E21</ns5:sqref>
        </ns4:dataValidation>
        <ns4:dataValidation type="list" allowBlank="1" showInputMessage="1" showErrorMessage="1" errorTitle="ERROR SELECCIÓN DATOS" error="Ingresar valores de acuerdo con lista desplegable." ns2:uid="{00000000-0002-0000-0000-000002000000}">
          <ns4:formula1>
            <ns5:f>Hoja1!$A$3:$A$18</ns5:f>
          </ns4:formula1>
          <ns5:sqref>A11:A21</ns5:sqref>
        </ns4:dataValidation>
      </ns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18"/>
  <sheetViews>
    <sheetView workbookViewId="0">
      <selection activeCell="J17" sqref="J17"/>
    </sheetView>
  </sheetViews>
  <sheetFormatPr baseColWidth="10" defaultRowHeight="14.25"/>
  <cols>
    <col min="1" max="1" width="18.25" bestFit="1" customWidth="1"/>
  </cols>
  <sheetData>
    <row r="2" spans="1:3">
      <c r="A2" s="65" t="s">
        <v>24</v>
      </c>
      <c r="B2" t="s">
        <v>25</v>
      </c>
      <c r="C2" t="s">
        <v>22</v>
      </c>
    </row>
    <row r="3" spans="1:3">
      <c r="A3" s="65" t="s">
        <v>26</v>
      </c>
      <c r="B3" t="s">
        <v>27</v>
      </c>
      <c r="C3" t="s">
        <v>28</v>
      </c>
    </row>
    <row r="4" spans="1:3">
      <c r="A4" s="65" t="s">
        <v>29</v>
      </c>
      <c r="B4" t="s">
        <v>30</v>
      </c>
    </row>
    <row r="5" spans="1:3">
      <c r="A5" s="65" t="s">
        <v>31</v>
      </c>
      <c r="B5" t="s">
        <v>32</v>
      </c>
    </row>
    <row r="6" spans="1:3">
      <c r="A6" s="65" t="s">
        <v>33</v>
      </c>
      <c r="B6" t="s">
        <v>23</v>
      </c>
    </row>
    <row r="7" spans="1:3">
      <c r="A7" s="65" t="s">
        <v>34</v>
      </c>
      <c r="B7" t="s">
        <v>35</v>
      </c>
    </row>
    <row r="8" spans="1:3">
      <c r="A8" s="65" t="s">
        <v>36</v>
      </c>
      <c r="B8" t="s">
        <v>37</v>
      </c>
    </row>
    <row r="9" spans="1:3">
      <c r="A9" s="65" t="s">
        <v>38</v>
      </c>
      <c r="B9" t="s">
        <v>39</v>
      </c>
    </row>
    <row r="10" spans="1:3">
      <c r="A10" s="65" t="s">
        <v>40</v>
      </c>
    </row>
    <row r="11" spans="1:3">
      <c r="A11" s="65" t="s">
        <v>41</v>
      </c>
    </row>
    <row r="12" spans="1:3">
      <c r="A12" s="65" t="s">
        <v>42</v>
      </c>
    </row>
    <row r="13" spans="1:3">
      <c r="A13" s="65" t="s">
        <v>21</v>
      </c>
    </row>
    <row r="14" spans="1:3">
      <c r="A14" s="65" t="s">
        <v>43</v>
      </c>
    </row>
    <row r="15" spans="1:3">
      <c r="A15" s="65" t="s">
        <v>44</v>
      </c>
    </row>
    <row r="16" spans="1:3">
      <c r="A16" s="65" t="s">
        <v>45</v>
      </c>
    </row>
    <row r="17" spans="1:1">
      <c r="A17" s="65" t="s">
        <v>46</v>
      </c>
    </row>
    <row r="18" spans="1:1">
      <c r="A18" s="6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Sección A</vt:lpstr>
      <vt:lpstr>Hoja1</vt:lpstr>
      <vt:lpstr>'Sección 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Andres Jimenez Moreno</dc:creator>
  <cp:lastModifiedBy>Diego</cp:lastModifiedBy>
  <dcterms:created xsi:type="dcterms:W3CDTF">2025-01-24T15:16:18Z</dcterms:created>
  <dcterms:modified xsi:type="dcterms:W3CDTF">2026-08-14T02:52:48Z</dcterms:modified>
</cp:coreProperties>
</file>